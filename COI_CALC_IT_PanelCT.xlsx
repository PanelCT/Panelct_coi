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aca20df74b46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 Data" sheetId="1" r:id="Rd6f94bfecb2c4193"/>
    <x:sheet xmlns:r="http://schemas.openxmlformats.org/officeDocument/2006/relationships" name="Table" sheetId="2" r:id="Rce7eb32de072474f"/>
    <x:sheet xmlns:r="http://schemas.openxmlformats.org/officeDocument/2006/relationships" name="Performance" sheetId="3" r:id="Rb9f2c613632d4338"/>
    <x:sheet xmlns:r="http://schemas.openxmlformats.org/officeDocument/2006/relationships" name="Frequency graph" sheetId="4" r:id="R58a3a35023ff43e6"/>
    <x:sheet xmlns:r="http://schemas.openxmlformats.org/officeDocument/2006/relationships" name="Profile graph" sheetId="5" r:id="R98abd305a2664718"/>
    <x:sheet xmlns:r="http://schemas.openxmlformats.org/officeDocument/2006/relationships" name="Export Data" sheetId="6" r:id="R26fffe322438452f"/>
    <x:sheet xmlns:r="http://schemas.openxmlformats.org/officeDocument/2006/relationships" name="DG" sheetId="7" r:id="R549f1ac1a76f4491"/>
    <x:sheet xmlns:r="http://schemas.openxmlformats.org/officeDocument/2006/relationships" name="Info" sheetId="8" r:id="Rc5a55a71628040d0"/>
  </x:sheets>
</x:workbook>
</file>

<file path=xl/sharedStrings.xml><?xml version="1.0" encoding="utf-8"?>
<x:sst xmlns:x="http://schemas.openxmlformats.org/spreadsheetml/2006/main">
  <x:si>
    <x:t xml:space="preserve">Test ChiQuadrato</x:t>
  </x:si>
  <x:si>
    <x:t xml:space="preserve">Panel</x:t>
  </x:si>
  <x:si>
    <x:t xml:space="preserve">Frequenze previste</x:t>
  </x:si>
  <x:si>
    <x:t xml:space="preserve">Signif.</x:t>
  </x:si>
  <x:si>
    <x:t xml:space="preserve">A</x:t>
  </x:si>
  <x:si>
    <x:t xml:space="preserve">B</x:t>
  </x:si>
  <x:si>
    <x:t xml:space="preserve">C</x:t>
  </x:si>
  <x:si>
    <x:t xml:space="preserve">D</x:t>
  </x:si>
  <x:si>
    <x:t xml:space="preserve">E</x:t>
  </x:si>
  <x:si>
    <x:t xml:space="preserve">F</x:t>
  </x:si>
  <x:si>
    <x:t xml:space="preserve">G</x:t>
  </x:si>
  <x:si>
    <x:t xml:space="preserve">H</x:t>
  </x:si>
  <x:si>
    <x:t xml:space="preserve">I</x:t>
  </x:si>
  <x:si>
    <x:t xml:space="preserve">J</x:t>
  </x:si>
  <x:si>
    <x:t xml:space="preserve">K</x:t>
  </x:si>
  <x:si>
    <x:t xml:space="preserve">L</x:t>
  </x:si>
  <x:si>
    <x:t xml:space="preserve">M</x:t>
  </x:si>
  <x:si>
    <x:t xml:space="preserve">N</x:t>
  </x:si>
  <x:si>
    <x:t xml:space="preserve">O</x:t>
  </x:si>
  <x:si>
    <x:t xml:space="preserve">P</x:t>
  </x:si>
  <x:si>
    <x:t xml:space="preserve">Q</x:t>
  </x:si>
  <x:si>
    <x:t xml:space="preserve">R</x:t>
  </x:si>
  <x:si>
    <x:t xml:space="preserve">S</x:t>
  </x:si>
  <x:si>
    <x:t xml:space="preserve">T</x:t>
  </x:si>
  <x:si>
    <x:t xml:space="preserve">REPLICATE</x:t>
  </x:si>
  <x:si>
    <x:t xml:space="preserve">S*</x:t>
  </x:si>
  <x:si>
    <x:t xml:space="preserve">CVr%</x:t>
  </x:si>
  <x:si>
    <x:t xml:space="preserve"> </x:t>
  </x:si>
  <x:si>
    <x:t xml:space="preserve">Sample 1 R</x:t>
  </x:si>
  <x:si>
    <x:t xml:space="preserve">IRP</x:t>
  </x:si>
  <x:si>
    <x:t xml:space="preserve">IRP-Median</x:t>
  </x:si>
  <x:si>
    <x:t xml:space="preserve">IRP max</x:t>
  </x:si>
  <x:si>
    <x:t xml:space="preserve">ID</x:t>
  </x:si>
  <x:si>
    <x:t xml:space="preserve">ID max</x:t>
  </x:si>
  <x:si>
    <x:t xml:space="preserve">*ID e IRP MUST BE &lt; 3 FOR GOOD PERFORMANCE</x:t>
  </x:si>
  <x:si>
    <x:t xml:space="preserve">Samples </x:t>
  </x:si>
  <x:si>
    <x:t xml:space="preserve">sensory@andreagiomo.com</x:t>
  </x:si>
</x:sst>
</file>

<file path=xl/styles.xml><?xml version="1.0" encoding="utf-8"?>
<x:styleSheet xmlns:x="http://schemas.openxmlformats.org/spreadsheetml/2006/main">
  <x:numFmts count="1">
    <x:numFmt numFmtId="164" formatCode="0.0"/>
  </x:numFmts>
  <x:fonts count="29"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name val="Arial"/>
    </x:font>
    <x:font>
      <x:b/>
      <x:sz val="10"/>
      <x:color indexed="10"/>
      <x:name val="Arial"/>
    </x:font>
    <x:font>
      <x:b/>
      <x:sz val="12"/>
      <x:color indexed="10"/>
      <x:name val="Arial"/>
    </x:font>
    <x:font>
      <x:b/>
      <x:sz val="10"/>
      <x:color indexed="12"/>
      <x:name val="Arial"/>
    </x:font>
    <x:font>
      <x:sz val="10"/>
      <x:color indexed="12"/>
      <x:name val="Arial"/>
    </x:font>
    <x:font>
      <x:b/>
      <x:sz val="14"/>
      <x:color indexed="10"/>
      <x:name val="Arial"/>
    </x:font>
    <x:font>
      <x:sz val="8"/>
      <x:color indexed="17"/>
      <x:name val="Arial"/>
    </x:font>
    <x:font>
      <x:b/>
      <x:sz val="8"/>
      <x:color indexed="17"/>
      <x:name val="Arial"/>
    </x:font>
    <x:font>
      <x:b/>
      <x:sz val="12"/>
      <x:color indexed="10"/>
      <x:name val="Comic Sans MS"/>
    </x:font>
    <x:font>
      <x:b/>
      <x:sz val="12"/>
      <x:color indexed="12"/>
      <x:name val="Comic Sans MS"/>
    </x:font>
    <x:font>
      <x:b/>
      <x:sz val="11"/>
      <x:color indexed="10"/>
      <x:name val="Arial"/>
    </x:font>
    <x:font>
      <x:sz val="10"/>
      <x:name val="Arial"/>
    </x:font>
    <x:font>
      <x:b/>
      <x:sz val="10"/>
      <x:color indexed="14"/>
      <x:name val="Arial"/>
    </x:font>
    <x:font>
      <x:b/>
      <x:sz val="12"/>
      <x:name val="Verdana"/>
    </x:font>
    <x:font>
      <x:sz val="12"/>
      <x:name val="Arial"/>
    </x:font>
    <x:font>
      <x:b/>
      <x:sz val="12"/>
      <x:name val="Arial"/>
    </x:font>
    <x:font>
      <x:b/>
      <x:sz val="12"/>
      <x:color indexed="11"/>
      <x:name val="Arial"/>
    </x:font>
    <x:font>
      <x:b/>
      <x:sz val="12"/>
      <x:color indexed="17"/>
      <x:name val="Arial"/>
    </x:font>
    <x:font>
      <x:sz val="12"/>
      <x:color indexed="9"/>
      <x:name val="Arial"/>
    </x:font>
    <x:font>
      <x:b/>
      <x:sz val="14"/>
      <x:color indexed="10"/>
      <x:name val="Arial"/>
    </x:font>
    <x:font>
      <x:b/>
      <x:sz val="14"/>
      <x:name val="Arial"/>
    </x:font>
    <x:font>
      <x:b/>
      <x:i/>
      <x:sz val="12"/>
      <x:name val="Verdana"/>
    </x:font>
    <x:font>
      <x:b/>
      <x:sz val="12"/>
      <x:color indexed="9"/>
      <x:name val="Arial"/>
    </x:font>
    <x:font>
      <x:b/>
      <x:sz val="10"/>
      <x:color rgb="FFCC00CC"/>
      <x:name val="Arial"/>
    </x:font>
    <x:font>
      <x:sz val="10"/>
      <x:color rgb="FFCC00CC"/>
      <x:name val="Arial"/>
    </x:font>
    <x:font>
      <x:sz val="12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42"/>
      </x:patternFill>
    </x:fill>
    <x:fill>
      <x:patternFill patternType="solid">
        <x:fgColor indexed="22"/>
      </x:patternFill>
    </x:fill>
    <x:fill>
      <x:patternFill patternType="solid">
        <x:fgColor indexed="44"/>
      </x:patternFill>
    </x:fill>
    <x:fill>
      <x:patternFill patternType="solid">
        <x:fgColor theme="6" tint="0.59999"/>
      </x:patternFill>
    </x:fill>
    <x:fill>
      <x:patternFill patternType="solid">
        <x:fgColor theme="0" tint="-0.04999"/>
      </x:patternFill>
    </x:fill>
    <x:fill>
      <x:patternFill patternType="solid">
        <x:fgColor theme="6" tint="0.79998"/>
      </x:patternFill>
    </x:fill>
    <x:fill>
      <x:patternFill patternType="solid">
        <x:fgColor theme="9" tint="0.59999"/>
      </x:patternFill>
    </x:fill>
    <x:fill>
      <x:patternFill patternType="solid">
        <x:fgColor rgb="FF00B0F0"/>
      </x:patternFill>
    </x:fill>
  </x:fills>
  <x:borders count="129">
    <x:border/>
    <x:border>
      <x:left style="thick">
        <x:color indexed="64"/>
      </x:left>
      <x:right style="thin">
        <x:color indexed="64"/>
      </x:right>
      <x:top style="thick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ck">
        <x:color indexed="64"/>
      </x:top>
      <x:bottom style="thin">
        <x:color indexed="64"/>
      </x:bottom>
    </x:border>
    <x:border>
      <x:left style="thin">
        <x:color indexed="64"/>
      </x:left>
      <x:right style="thick">
        <x:color indexed="64"/>
      </x:right>
      <x:top style="thick">
        <x:color indexed="64"/>
      </x:top>
      <x:bottom style="thin">
        <x:color indexed="64"/>
      </x:bottom>
    </x:border>
    <x:border>
      <x:left style="thick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ck">
        <x:color indexed="64"/>
      </x:right>
      <x:top style="thin">
        <x:color indexed="64"/>
      </x:top>
      <x:bottom style="thin">
        <x:color indexed="64"/>
      </x:bottom>
    </x:border>
    <x:border>
      <x:left style="thick">
        <x:color indexed="64"/>
      </x:left>
      <x:right style="thin">
        <x:color indexed="64"/>
      </x:right>
      <x:top style="thin">
        <x:color indexed="64"/>
      </x:top>
      <x:bottom style="thick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ck">
        <x:color indexed="64"/>
      </x:bottom>
    </x:border>
    <x:border>
      <x:left style="thin">
        <x:color indexed="64"/>
      </x:left>
      <x:right style="thick">
        <x:color indexed="64"/>
      </x:right>
      <x:top style="thin">
        <x:color indexed="64"/>
      </x:top>
      <x:bottom style="thick">
        <x:color indexed="64"/>
      </x:bottom>
    </x:border>
    <x:border>
      <x:left style="thick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top style="thick">
        <x:color indexed="64"/>
      </x:top>
      <x:bottom style="thick">
        <x:color indexed="64"/>
      </x:bottom>
    </x:border>
    <x:border>
      <x:left style="thick">
        <x:color indexed="10"/>
      </x:left>
      <x:top style="thick">
        <x:color indexed="10"/>
      </x:top>
    </x:border>
    <x:border>
      <x:top style="thick">
        <x:color indexed="10"/>
      </x:top>
    </x:border>
    <x:border>
      <x:right style="thick">
        <x:color indexed="10"/>
      </x:right>
      <x:top style="thick">
        <x:color indexed="10"/>
      </x:top>
    </x:border>
    <x:border>
      <x:left style="thin">
        <x:color indexed="49"/>
      </x:left>
      <x:right style="thin">
        <x:color indexed="49"/>
      </x:right>
      <x:top style="thin">
        <x:color indexed="64"/>
      </x:top>
      <x:bottom style="thin">
        <x:color indexed="49"/>
      </x:bottom>
    </x:border>
    <x:border>
      <x:left style="thick">
        <x:color indexed="10"/>
      </x:left>
      <x:bottom style="thin">
        <x:color indexed="64"/>
      </x:bottom>
    </x:border>
    <x:border>
      <x:bottom style="thin">
        <x:color indexed="64"/>
      </x:bottom>
    </x:border>
    <x:border>
      <x:right style="thick">
        <x:color indexed="10"/>
      </x:right>
      <x:bottom style="thin">
        <x:color indexed="64"/>
      </x:bottom>
    </x:border>
    <x:border>
      <x:left style="thick">
        <x:color indexed="10"/>
      </x:left>
    </x:border>
    <x:border>
      <x:right style="thick">
        <x:color indexed="10"/>
      </x:right>
    </x:border>
    <x:border>
      <x:left style="thick">
        <x:color indexed="10"/>
      </x:left>
      <x:bottom style="thick">
        <x:color indexed="10"/>
      </x:bottom>
    </x:border>
    <x:border>
      <x:bottom style="thick">
        <x:color indexed="10"/>
      </x:bottom>
    </x:border>
    <x:border>
      <x:right style="thick">
        <x:color indexed="10"/>
      </x:right>
      <x:bottom style="thick">
        <x:color indexed="10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indexed="55"/>
      </x:left>
      <x:right style="thin">
        <x:color indexed="55"/>
      </x:right>
      <x:top style="thin">
        <x:color indexed="55"/>
      </x:top>
      <x:bottom style="thin">
        <x:color indexed="55"/>
      </x:bottom>
    </x:border>
    <x:border>
      <x:left style="medium">
        <x:color indexed="64"/>
      </x:left>
      <x:right style="thin">
        <x:color indexed="55"/>
      </x:right>
      <x:top style="thin">
        <x:color indexed="55"/>
      </x:top>
      <x:bottom style="thin">
        <x:color indexed="55"/>
      </x:bottom>
    </x:border>
    <x:border>
      <x:left style="medium">
        <x:color indexed="64"/>
      </x:left>
    </x:border>
    <x:border>
      <x:top style="thin">
        <x:color indexed="64"/>
      </x:top>
      <x:bottom style="medium">
        <x:color indexed="64"/>
      </x:bottom>
    </x:border>
    <x:border>
      <x:top style="medium">
        <x:color indexed="64"/>
      </x:top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55"/>
      </x:right>
      <x:top style="medium">
        <x:color indexed="64"/>
      </x:top>
      <x:bottom style="thin">
        <x:color indexed="55"/>
      </x:bottom>
    </x:border>
    <x:border>
      <x:left style="thin">
        <x:color indexed="55"/>
      </x:left>
      <x:right style="thin">
        <x:color indexed="55"/>
      </x:right>
      <x:top style="medium">
        <x:color indexed="64"/>
      </x:top>
      <x:bottom style="thin">
        <x:color indexed="55"/>
      </x:bottom>
    </x:border>
    <x:border>
      <x:bottom style="medium">
        <x:color indexed="64"/>
      </x:bottom>
    </x:border>
    <x:border>
      <x:left style="thin">
        <x:color indexed="55"/>
      </x:left>
      <x:right style="thin">
        <x:color indexed="64"/>
      </x:right>
      <x:top style="medium">
        <x:color indexed="64"/>
      </x:top>
      <x:bottom style="thin">
        <x:color indexed="55"/>
      </x:bottom>
    </x:border>
    <x:border>
      <x:left style="thin">
        <x:color indexed="55"/>
      </x:left>
      <x:right style="thin">
        <x:color indexed="64"/>
      </x:right>
      <x:top style="thin">
        <x:color indexed="55"/>
      </x:top>
      <x:bottom style="thin">
        <x:color indexed="55"/>
      </x:bottom>
    </x:border>
    <x:border>
      <x:right style="thin">
        <x:color indexed="64"/>
      </x:right>
    </x:border>
    <x:border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55"/>
      </x:right>
      <x:top style="thin">
        <x:color indexed="55"/>
      </x:top>
      <x:bottom style="thin">
        <x:color indexed="55"/>
      </x:bottom>
    </x:border>
    <x:border>
      <x:right style="thin">
        <x:color theme="1"/>
      </x:right>
      <x:top style="thin">
        <x:color indexed="55"/>
      </x:top>
    </x:border>
    <x:border>
      <x:left style="medium">
        <x:color rgb="FF00B0F0"/>
      </x:left>
      <x:top style="medium">
        <x:color rgb="FF00B0F0"/>
      </x:top>
    </x:border>
    <x:border>
      <x:top style="medium">
        <x:color rgb="FF00B0F0"/>
      </x:top>
    </x:border>
    <x:border>
      <x:left style="medium">
        <x:color rgb="FF00B0F0"/>
      </x:left>
      <x:right style="thin">
        <x:color indexed="49"/>
      </x:right>
      <x:top style="thin">
        <x:color indexed="64"/>
      </x:top>
      <x:bottom style="thin">
        <x:color indexed="49"/>
      </x:bottom>
    </x:border>
    <x:border>
      <x:left style="medium">
        <x:color rgb="FF00B0F0"/>
      </x:left>
      <x:right style="thin">
        <x:color indexed="49"/>
      </x:right>
      <x:top style="thin">
        <x:color indexed="49"/>
      </x:top>
      <x:bottom style="thin">
        <x:color indexed="49"/>
      </x:bottom>
    </x:border>
    <x:border>
      <x:left style="thin">
        <x:color indexed="49"/>
      </x:left>
      <x:right style="thin">
        <x:color indexed="49"/>
      </x:right>
      <x:top style="thin">
        <x:color indexed="49"/>
      </x:top>
      <x:bottom style="thin">
        <x:color indexed="49"/>
      </x:bottom>
    </x:border>
    <x:border>
      <x:left style="medium">
        <x:color rgb="FF00B0F0"/>
      </x:left>
      <x:right style="thin">
        <x:color indexed="49"/>
      </x:right>
      <x:top style="thin">
        <x:color indexed="49"/>
      </x:top>
    </x:border>
    <x:border>
      <x:left style="thin">
        <x:color indexed="49"/>
      </x:left>
      <x:right style="thin">
        <x:color indexed="49"/>
      </x:right>
      <x:top style="thin">
        <x:color indexed="49"/>
      </x:top>
    </x:border>
    <x:border>
      <x:left style="medium">
        <x:color rgb="FF00B0F0"/>
      </x:left>
    </x:border>
    <x:border>
      <x:left style="medium">
        <x:color rgb="FF00B0F0"/>
      </x:left>
      <x:right style="thin">
        <x:color indexed="49"/>
      </x:right>
      <x:top style="thin">
        <x:color indexed="49"/>
      </x:top>
      <x:bottom style="medium">
        <x:color rgb="FF00B0F0"/>
      </x:bottom>
    </x:border>
    <x:border>
      <x:left style="thin">
        <x:color indexed="49"/>
      </x:left>
      <x:right style="thin">
        <x:color indexed="49"/>
      </x:right>
      <x:top style="thin">
        <x:color indexed="49"/>
      </x:top>
      <x:bottom style="medium">
        <x:color rgb="FF00B0F0"/>
      </x:bottom>
    </x:border>
    <x:border>
      <x:left style="medium">
        <x:color rgb="FF00B0F0"/>
      </x:left>
      <x:top style="thin">
        <x:color indexed="64"/>
      </x:top>
      <x:bottom style="thin">
        <x:color indexed="49"/>
      </x:bottom>
    </x:border>
    <x:border>
      <x:left style="medium">
        <x:color rgb="FF00B0F0"/>
      </x:left>
      <x:top style="thin">
        <x:color indexed="49"/>
      </x:top>
      <x:bottom style="thin">
        <x:color indexed="49"/>
      </x:bottom>
    </x:border>
    <x:border>
      <x:left style="medium">
        <x:color rgb="FF00B0F0"/>
      </x:left>
      <x:top style="thin">
        <x:color indexed="49"/>
      </x:top>
    </x:border>
    <x:border>
      <x:left style="thin">
        <x:color indexed="49"/>
      </x:left>
      <x:right style="thin">
        <x:color indexed="49"/>
      </x:right>
      <x:bottom style="thin">
        <x:color indexed="49"/>
      </x:bottom>
    </x:border>
    <x:border>
      <x:right style="medium">
        <x:color rgb="FF00B0F0"/>
      </x:right>
      <x:top style="medium">
        <x:color rgb="FF00B0F0"/>
      </x:top>
    </x:border>
    <x:border>
      <x:left style="thin">
        <x:color indexed="49"/>
      </x:left>
      <x:right style="medium">
        <x:color rgb="FF00B0F0"/>
      </x:right>
      <x:top style="thin">
        <x:color indexed="64"/>
      </x:top>
      <x:bottom style="thin">
        <x:color indexed="49"/>
      </x:bottom>
    </x:border>
    <x:border>
      <x:left style="thin">
        <x:color indexed="49"/>
      </x:left>
      <x:right style="medium">
        <x:color rgb="FF00B0F0"/>
      </x:right>
      <x:top style="thin">
        <x:color indexed="49"/>
      </x:top>
      <x:bottom style="thin">
        <x:color indexed="49"/>
      </x:bottom>
    </x:border>
    <x:border>
      <x:left style="thin">
        <x:color indexed="49"/>
      </x:left>
      <x:right style="medium">
        <x:color rgb="FF00B0F0"/>
      </x:right>
      <x:top style="thin">
        <x:color indexed="49"/>
      </x:top>
    </x:border>
    <x:border>
      <x:right style="medium">
        <x:color rgb="FF00B0F0"/>
      </x:right>
      <x:top style="thin">
        <x:color indexed="64"/>
      </x:top>
      <x:bottom style="thin">
        <x:color indexed="64"/>
      </x:bottom>
    </x:border>
    <x:border>
      <x:right style="medium">
        <x:color rgb="FF00B0F0"/>
      </x:right>
    </x:border>
    <x:border>
      <x:left style="medium">
        <x:color rgb="FF00B0F0"/>
      </x:left>
      <x:right style="thin">
        <x:color indexed="49"/>
      </x:right>
      <x:top style="thin">
        <x:color indexed="49"/>
      </x:top>
      <x:bottom style="thin">
        <x:color indexed="64"/>
      </x:bottom>
    </x:border>
    <x:border>
      <x:left style="thin">
        <x:color indexed="49"/>
      </x:left>
      <x:right style="thin">
        <x:color indexed="49"/>
      </x:right>
      <x:top style="thin">
        <x:color indexed="49"/>
      </x:top>
      <x:bottom style="thin">
        <x:color indexed="64"/>
      </x:bottom>
    </x:border>
    <x:border>
      <x:left style="thin">
        <x:color indexed="49"/>
      </x:left>
      <x:right style="medium">
        <x:color rgb="FF00B0F0"/>
      </x:right>
      <x:top style="thin">
        <x:color indexed="49"/>
      </x:top>
      <x:bottom style="thin">
        <x:color indexed="64"/>
      </x:bottom>
    </x:border>
    <x:border/>
    <x:border>
      <x:left style="thick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ck">
        <x:color indexed="64"/>
      </x:right>
      <x:top style="thin">
        <x:color indexed="64"/>
      </x:top>
      <x:bottom style="thin">
        <x:color indexed="64"/>
      </x:bottom>
    </x:border>
    <x:border>
      <x:left style="thick">
        <x:color indexed="64"/>
      </x:left>
      <x:right style="thin">
        <x:color indexed="64"/>
      </x:right>
      <x:top style="thin">
        <x:color indexed="64"/>
      </x:top>
      <x:bottom style="thick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ck">
        <x:color indexed="64"/>
      </x:bottom>
    </x:border>
    <x:border>
      <x:left style="thin">
        <x:color indexed="64"/>
      </x:left>
      <x:right style="thick">
        <x:color indexed="64"/>
      </x:right>
      <x:top style="thin">
        <x:color indexed="64"/>
      </x:top>
      <x:bottom style="thick">
        <x:color indexed="64"/>
      </x:bottom>
    </x:border>
    <x:border>
      <x:left style="thick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top style="thick">
        <x:color indexed="64"/>
      </x:top>
      <x:bottom style="thick">
        <x:color indexed="64"/>
      </x:bottom>
    </x:border>
    <x:border>
      <x:top style="thick">
        <x:color indexed="10"/>
      </x:top>
    </x:border>
    <x:border>
      <x:right style="thick">
        <x:color indexed="10"/>
      </x:right>
      <x:top style="thick">
        <x:color indexed="10"/>
      </x:top>
    </x:border>
    <x:border>
      <x:left style="thick">
        <x:color indexed="10"/>
      </x:left>
      <x:top style="thick">
        <x:color indexed="10"/>
      </x:top>
    </x:border>
    <x:border>
      <x:left style="thick">
        <x:color indexed="10"/>
      </x:left>
      <x:bottom style="thin">
        <x:color indexed="64"/>
      </x:bottom>
    </x:border>
    <x:border>
      <x:bottom style="thin">
        <x:color indexed="64"/>
      </x:bottom>
    </x:border>
    <x:border>
      <x:right style="thick">
        <x:color indexed="10"/>
      </x:right>
      <x:bottom style="thin">
        <x:color indexed="64"/>
      </x:bottom>
    </x:border>
    <x:border>
      <x:left style="thick">
        <x:color indexed="10"/>
      </x:left>
    </x:border>
    <x:border>
      <x:right style="thick">
        <x:color indexed="10"/>
      </x:right>
    </x:border>
    <x:border>
      <x:left style="thick">
        <x:color indexed="10"/>
      </x:left>
      <x:bottom style="thick">
        <x:color indexed="10"/>
      </x:bottom>
    </x:border>
    <x:border>
      <x:bottom style="thick">
        <x:color indexed="10"/>
      </x:bottom>
    </x:border>
    <x:border>
      <x:right style="thick">
        <x:color indexed="10"/>
      </x:right>
      <x:bottom style="thick">
        <x:color indexed="10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indexed="55"/>
      </x:left>
      <x:right style="thin">
        <x:color indexed="55"/>
      </x:right>
      <x:top style="thin">
        <x:color indexed="55"/>
      </x:top>
      <x:bottom style="thin">
        <x:color indexed="55"/>
      </x:bottom>
    </x:border>
    <x:border>
      <x:top style="thin">
        <x:color indexed="64"/>
      </x:top>
      <x:bottom style="medium">
        <x:color indexed="64"/>
      </x:bottom>
    </x:border>
    <x:border>
      <x:top style="medium">
        <x:color indexed="64"/>
      </x:top>
    </x:border>
    <x:border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ck">
        <x:color indexed="64"/>
      </x:top>
      <x:bottom style="thin">
        <x:color indexed="64"/>
      </x:bottom>
    </x:border>
    <x:border>
      <x:left style="thin">
        <x:color indexed="64"/>
      </x:left>
      <x:right style="thick">
        <x:color indexed="64"/>
      </x:right>
      <x:top style="thick">
        <x:color indexed="64"/>
      </x:top>
      <x:bottom style="thin">
        <x:color indexed="64"/>
      </x:bottom>
    </x:border>
    <x:border>
      <x:left style="thick">
        <x:color indexed="64"/>
      </x:left>
      <x:right style="thin">
        <x:color indexed="64"/>
      </x:right>
      <x:top style="thick">
        <x:color indexed="64"/>
      </x:top>
      <x:bottom style="thin">
        <x:color indexed="64"/>
      </x:bottom>
    </x:border>
    <x:border>
      <x:left style="thin">
        <x:color indexed="55"/>
      </x:left>
      <x:right style="thin">
        <x:color indexed="64"/>
      </x:right>
      <x:top style="thin">
        <x:color indexed="55"/>
      </x:top>
      <x:bottom style="thin">
        <x:color indexed="55"/>
      </x:bottom>
    </x:border>
    <x:border>
      <x:right style="thin">
        <x:color indexed="64"/>
      </x:right>
    </x:border>
    <x:border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55"/>
      </x:right>
      <x:top style="medium">
        <x:color indexed="64"/>
      </x:top>
      <x:bottom style="thin">
        <x:color indexed="55"/>
      </x:bottom>
    </x:border>
    <x:border>
      <x:left style="thin">
        <x:color indexed="55"/>
      </x:left>
      <x:right style="thin">
        <x:color indexed="55"/>
      </x:right>
      <x:top style="medium">
        <x:color indexed="64"/>
      </x:top>
      <x:bottom style="thin">
        <x:color indexed="55"/>
      </x:bottom>
    </x:border>
    <x:border>
      <x:left style="thin">
        <x:color indexed="55"/>
      </x:left>
      <x:right style="thin">
        <x:color indexed="64"/>
      </x:right>
      <x:top style="medium">
        <x:color indexed="64"/>
      </x:top>
      <x:bottom style="thin">
        <x:color indexed="55"/>
      </x:bottom>
    </x:border>
    <x:border>
      <x:left style="medium">
        <x:color indexed="64"/>
      </x:left>
      <x:right style="thin">
        <x:color indexed="55"/>
      </x:right>
      <x:top style="thin">
        <x:color indexed="55"/>
      </x:top>
      <x:bottom style="thin">
        <x:color indexed="55"/>
      </x:bottom>
    </x:border>
    <x:border>
      <x:left style="medium">
        <x:color indexed="64"/>
      </x:left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right style="thin">
        <x:color theme="1"/>
      </x:right>
      <x:top style="thin">
        <x:color indexed="55"/>
      </x:top>
    </x:border>
    <x:border>
      <x:left style="thin">
        <x:color indexed="49"/>
      </x:left>
      <x:right style="thin">
        <x:color indexed="49"/>
      </x:right>
      <x:top style="thin">
        <x:color indexed="64"/>
      </x:top>
      <x:bottom style="thin">
        <x:color indexed="49"/>
      </x:bottom>
    </x:border>
    <x:border>
      <x:left style="medium">
        <x:color rgb="FF00B0F0"/>
      </x:left>
      <x:top style="medium">
        <x:color rgb="FF00B0F0"/>
      </x:top>
    </x:border>
    <x:border>
      <x:top style="medium">
        <x:color rgb="FF00B0F0"/>
      </x:top>
    </x:border>
    <x:border>
      <x:left style="medium">
        <x:color rgb="FF00B0F0"/>
      </x:left>
      <x:right style="thin">
        <x:color indexed="49"/>
      </x:right>
      <x:top style="thin">
        <x:color indexed="64"/>
      </x:top>
      <x:bottom style="thin">
        <x:color indexed="49"/>
      </x:bottom>
    </x:border>
    <x:border>
      <x:left style="thin">
        <x:color indexed="49"/>
      </x:left>
      <x:right style="thin">
        <x:color indexed="49"/>
      </x:right>
      <x:top style="thin">
        <x:color indexed="49"/>
      </x:top>
      <x:bottom style="thin">
        <x:color indexed="49"/>
      </x:bottom>
    </x:border>
    <x:border>
      <x:left style="medium">
        <x:color rgb="FF00B0F0"/>
      </x:left>
      <x:right style="thin">
        <x:color indexed="49"/>
      </x:right>
      <x:top style="thin">
        <x:color indexed="49"/>
      </x:top>
      <x:bottom style="thin">
        <x:color indexed="49"/>
      </x:bottom>
    </x:border>
    <x:border>
      <x:left style="medium">
        <x:color rgb="FF00B0F0"/>
      </x:left>
      <x:right style="thin">
        <x:color indexed="49"/>
      </x:right>
      <x:top style="thin">
        <x:color indexed="49"/>
      </x:top>
    </x:border>
    <x:border>
      <x:left style="thin">
        <x:color indexed="49"/>
      </x:left>
      <x:right style="thin">
        <x:color indexed="49"/>
      </x:right>
      <x:top style="thin">
        <x:color indexed="49"/>
      </x:top>
    </x:border>
    <x:border>
      <x:left style="medium">
        <x:color rgb="FF00B0F0"/>
      </x:left>
    </x:border>
    <x:border>
      <x:left style="medium">
        <x:color rgb="FF00B0F0"/>
      </x:left>
      <x:top style="thin">
        <x:color indexed="64"/>
      </x:top>
      <x:bottom style="thin">
        <x:color indexed="49"/>
      </x:bottom>
    </x:border>
    <x:border>
      <x:left style="medium">
        <x:color rgb="FF00B0F0"/>
      </x:left>
      <x:top style="thin">
        <x:color indexed="49"/>
      </x:top>
      <x:bottom style="thin">
        <x:color indexed="49"/>
      </x:bottom>
    </x:border>
    <x:border>
      <x:left style="medium">
        <x:color rgb="FF00B0F0"/>
      </x:left>
      <x:top style="thin">
        <x:color indexed="49"/>
      </x:top>
    </x:border>
    <x:border>
      <x:left style="thin">
        <x:color indexed="49"/>
      </x:left>
      <x:right style="thin">
        <x:color indexed="49"/>
      </x:right>
      <x:bottom style="thin">
        <x:color indexed="49"/>
      </x:bottom>
    </x:border>
    <x:border>
      <x:right style="medium">
        <x:color rgb="FF00B0F0"/>
      </x:right>
      <x:top style="medium">
        <x:color rgb="FF00B0F0"/>
      </x:top>
    </x:border>
    <x:border>
      <x:left style="thin">
        <x:color indexed="49"/>
      </x:left>
      <x:right style="medium">
        <x:color rgb="FF00B0F0"/>
      </x:right>
      <x:top style="thin">
        <x:color indexed="64"/>
      </x:top>
      <x:bottom style="thin">
        <x:color indexed="49"/>
      </x:bottom>
    </x:border>
    <x:border>
      <x:right style="medium">
        <x:color rgb="FF00B0F0"/>
      </x:right>
      <x:top style="thin">
        <x:color indexed="64"/>
      </x:top>
      <x:bottom style="thin">
        <x:color indexed="64"/>
      </x:bottom>
    </x:border>
    <x:border>
      <x:right style="medium">
        <x:color rgb="FF00B0F0"/>
      </x:right>
    </x:border>
    <x:border>
      <x:left style="medium">
        <x:color rgb="FF00B0F0"/>
      </x:left>
      <x:right style="thin">
        <x:color indexed="49"/>
      </x:right>
      <x:top style="thin">
        <x:color indexed="49"/>
      </x:top>
      <x:bottom style="medium">
        <x:color rgb="FF00B0F0"/>
      </x:bottom>
    </x:border>
    <x:border>
      <x:left style="thin">
        <x:color indexed="49"/>
      </x:left>
      <x:right style="thin">
        <x:color indexed="49"/>
      </x:right>
      <x:top style="thin">
        <x:color indexed="49"/>
      </x:top>
      <x:bottom style="medium">
        <x:color rgb="FF00B0F0"/>
      </x:bottom>
    </x:border>
    <x:border>
      <x:left style="thin">
        <x:color indexed="49"/>
      </x:left>
      <x:right style="medium">
        <x:color rgb="FF00B0F0"/>
      </x:right>
      <x:top style="thin">
        <x:color indexed="49"/>
      </x:top>
      <x:bottom style="thin">
        <x:color indexed="49"/>
      </x:bottom>
    </x:border>
    <x:border>
      <x:left style="thin">
        <x:color indexed="49"/>
      </x:left>
      <x:right style="medium">
        <x:color rgb="FF00B0F0"/>
      </x:right>
      <x:top style="thin">
        <x:color indexed="49"/>
      </x:top>
    </x:border>
    <x:border>
      <x:left style="medium">
        <x:color rgb="FF00B0F0"/>
      </x:left>
      <x:right style="thin">
        <x:color indexed="49"/>
      </x:right>
      <x:top style="thin">
        <x:color indexed="49"/>
      </x:top>
      <x:bottom style="thin">
        <x:color indexed="64"/>
      </x:bottom>
    </x:border>
    <x:border>
      <x:left style="thin">
        <x:color indexed="49"/>
      </x:left>
      <x:right style="thin">
        <x:color indexed="49"/>
      </x:right>
      <x:top style="thin">
        <x:color indexed="49"/>
      </x:top>
      <x:bottom style="thin">
        <x:color indexed="64"/>
      </x:bottom>
    </x:border>
    <x:border>
      <x:left style="thin">
        <x:color indexed="49"/>
      </x:left>
      <x:right style="medium">
        <x:color rgb="FF00B0F0"/>
      </x:right>
      <x:top style="thin">
        <x:color indexed="49"/>
      </x:top>
      <x:bottom style="thin">
        <x:color indexed="64"/>
      </x:bottom>
    </x:border>
  </x:borders>
  <x:cellStyleXfs count="2">
    <x:xf numFmtId="0" fontId="0" fillId="0" borderId="0"/>
    <x:xf numFmtId="0" fontId="1" fillId="0" borderId="0"/>
  </x:cellStyleXfs>
  <x:cellXfs count="326">
    <x:xf numFmtId="0" fontId="0" fillId="0" borderId="0" xfId="0"/>
    <x:xf numFmtId="0" fontId="4" fillId="0" borderId="0" xfId="0" applyFont="1"/>
    <x:xf numFmtId="0" fontId="7" fillId="0" borderId="0" xfId="0" applyFont="1"/>
    <x:xf numFmtId="0" fontId="8" fillId="0" borderId="0" xfId="0" applyFont="1"/>
    <x:xf numFmtId="0" fontId="9" fillId="0" borderId="0" xfId="0" applyFont="1"/>
    <x:xf numFmtId="0" fontId="10" fillId="0" borderId="0" xfId="0" applyFont="1"/>
    <x:xf numFmtId="2" fontId="0" fillId="0" borderId="0" xfId="0" applyNumberFormat="1"/>
    <x:xf numFmtId="0" fontId="11" fillId="0" borderId="0" xfId="0" applyFont="1"/>
    <x:xf numFmtId="0" fontId="12" fillId="0" borderId="0" xfId="0" applyFont="1"/>
    <x:xf numFmtId="0" fontId="13" fillId="0" borderId="0" xfId="0" applyFont="1"/>
    <x:xf numFmtId="0" fontId="3" fillId="0" borderId="0" xfId="0" applyFont="1"/>
    <x:xf numFmtId="0" fontId="14" fillId="0" borderId="0" xfId="0" applyFont="1"/>
    <x:xf numFmtId="0" fontId="15" fillId="0" borderId="0" xfId="0" applyFont="1" applyAlignment="1">
      <x:alignment horizontal="center"/>
    </x:xf>
    <x:xf numFmtId="0" fontId="14" fillId="0" borderId="4" xfId="0" applyFont="1" applyBorder="1"/>
    <x:xf numFmtId="0" fontId="14" fillId="0" borderId="5" xfId="0" applyFont="1" applyBorder="1"/>
    <x:xf numFmtId="164" fontId="14" fillId="0" borderId="5" xfId="0" applyNumberFormat="1" applyFont="1" applyBorder="1"/>
    <x:xf numFmtId="0" fontId="7" fillId="0" borderId="6" xfId="0" applyFont="1" applyBorder="1"/>
    <x:xf numFmtId="0" fontId="14" fillId="0" borderId="7" xfId="0" applyFont="1" applyBorder="1"/>
    <x:xf numFmtId="0" fontId="14" fillId="0" borderId="8" xfId="0" applyFont="1" applyBorder="1"/>
    <x:xf numFmtId="164" fontId="14" fillId="0" borderId="8" xfId="0" applyNumberFormat="1" applyFont="1" applyBorder="1"/>
    <x:xf numFmtId="0" fontId="7" fillId="0" borderId="9" xfId="0" applyFont="1" applyBorder="1"/>
    <x:xf numFmtId="0" fontId="2" fillId="0" borderId="0" xfId="0" applyFont="1"/>
    <x:xf numFmtId="0" fontId="14" fillId="0" borderId="10" xfId="0" applyFont="1" applyBorder="1"/>
    <x:xf numFmtId="0" fontId="14" fillId="0" borderId="11" xfId="0" applyFont="1" applyBorder="1"/>
    <x:xf numFmtId="0" fontId="0" fillId="0" borderId="5" xfId="0" applyBorder="1"/>
    <x:xf numFmtId="0" fontId="0" fillId="0" borderId="8" xfId="0" applyBorder="1"/>
    <x:xf numFmtId="0" fontId="14" fillId="0" borderId="12" xfId="0" applyFont="1" applyBorder="1"/>
    <x:xf numFmtId="0" fontId="15" fillId="0" borderId="12" xfId="0" applyFont="1" applyBorder="1" applyAlignment="1">
      <x:alignment horizontal="center"/>
    </x:xf>
    <x:xf numFmtId="0" fontId="16" fillId="0" borderId="0" xfId="0" applyFont="1"/>
    <x:xf numFmtId="0" fontId="17" fillId="0" borderId="0" xfId="0" applyFont="1" applyAlignment="1">
      <x:alignment horizontal="center"/>
    </x:xf>
    <x:xf numFmtId="0" fontId="17" fillId="0" borderId="0" xfId="0" applyFont="1"/>
    <x:xf numFmtId="0" fontId="17" fillId="2" borderId="14" xfId="0" applyFont="1" applyFill="1" applyBorder="1"/>
    <x:xf numFmtId="0" fontId="17" fillId="2" borderId="15" xfId="0" applyFont="1" applyFill="1" applyBorder="1"/>
    <x:xf numFmtId="0" fontId="17" fillId="0" borderId="14" xfId="0" applyFont="1" applyBorder="1"/>
    <x:xf numFmtId="0" fontId="17" fillId="2" borderId="13" xfId="0" applyFont="1" applyFill="1" applyBorder="1"/>
    <x:xf numFmtId="0" fontId="18" fillId="0" borderId="0" xfId="0" applyFont="1" applyAlignment="1">
      <x:alignment horizontal="center"/>
    </x:xf>
    <x:xf numFmtId="0" fontId="18" fillId="0" borderId="17" xfId="0" applyFont="1" applyBorder="1"/>
    <x:xf numFmtId="0" fontId="18" fillId="0" borderId="18" xfId="0" applyFont="1" applyBorder="1"/>
    <x:xf numFmtId="0" fontId="18" fillId="0" borderId="18" xfId="0" applyFont="1" applyBorder="1" applyAlignment="1">
      <x:alignment horizontal="center"/>
    </x:xf>
    <x:xf numFmtId="0" fontId="18" fillId="0" borderId="19" xfId="0" applyFont="1" applyBorder="1"/>
    <x:xf numFmtId="0" fontId="19" fillId="0" borderId="20" xfId="0" applyFont="1" applyBorder="1" applyAlignment="1">
      <x:alignment horizontal="left"/>
    </x:xf>
    <x:xf numFmtId="0" fontId="17" fillId="3" borderId="0" xfId="0" applyFont="1" applyFill="1"/>
    <x:xf numFmtId="0" fontId="18" fillId="0" borderId="21" xfId="0" applyFont="1" applyBorder="1" applyAlignment="1">
      <x:alignment horizontal="center"/>
    </x:xf>
    <x:xf numFmtId="0" fontId="20" fillId="0" borderId="20" xfId="0" applyFont="1" applyBorder="1"/>
    <x:xf numFmtId="0" fontId="17" fillId="0" borderId="22" xfId="0" applyFont="1" applyBorder="1"/>
    <x:xf numFmtId="0" fontId="18" fillId="0" borderId="23" xfId="0" applyFont="1" applyBorder="1" applyAlignment="1">
      <x:alignment horizontal="center"/>
    </x:xf>
    <x:xf numFmtId="0" fontId="17" fillId="0" borderId="23" xfId="0" applyFont="1" applyBorder="1"/>
    <x:xf numFmtId="0" fontId="17" fillId="0" borderId="24" xfId="0" applyFont="1" applyBorder="1"/>
    <x:xf numFmtId="0" fontId="17" fillId="4" borderId="0" xfId="0" applyFont="1" applyFill="1" applyAlignment="1">
      <x:alignment horizontal="center"/>
    </x:xf>
    <x:xf numFmtId="0" fontId="5" fillId="4" borderId="25" xfId="0" applyFont="1" applyFill="1" applyBorder="1" applyAlignment="1">
      <x:alignment horizontal="center"/>
    </x:xf>
    <x:xf numFmtId="0" fontId="17" fillId="4" borderId="26" xfId="0" applyFont="1" applyFill="1" applyBorder="1"/>
    <x:xf numFmtId="0" fontId="17" fillId="4" borderId="0" xfId="0" applyFont="1" applyFill="1"/>
    <x:xf numFmtId="0" fontId="21" fillId="0" borderId="0" xfId="0" applyFont="1"/>
    <x:xf numFmtId="0" fontId="23" fillId="0" borderId="0" xfId="0" applyFont="1"/>
    <x:xf numFmtId="0" fontId="24" fillId="0" borderId="0" xfId="0" applyFont="1"/>
    <x:xf numFmtId="164" fontId="21" fillId="0" borderId="0" xfId="0" applyNumberFormat="1" applyFont="1"/>
    <x:xf numFmtId="2" fontId="17" fillId="0" borderId="0" xfId="0" applyNumberFormat="1" applyFont="1"/>
    <x:xf numFmtId="0" fontId="18" fillId="0" borderId="27" xfId="0" applyFont="1" applyBorder="1"/>
    <x:xf numFmtId="164" fontId="18" fillId="0" borderId="27" xfId="0" applyNumberFormat="1" applyFont="1" applyBorder="1"/>
    <x:xf numFmtId="0" fontId="17" fillId="0" borderId="27" xfId="0" applyFont="1" applyBorder="1"/>
    <x:xf numFmtId="2" fontId="17" fillId="0" borderId="27" xfId="0" applyNumberFormat="1" applyFont="1" applyBorder="1"/>
    <x:xf numFmtId="2" fontId="18" fillId="0" borderId="27" xfId="0" applyNumberFormat="1" applyFont="1" applyBorder="1"/>
    <x:xf numFmtId="164" fontId="17" fillId="0" borderId="27" xfId="0" applyNumberFormat="1" applyFont="1" applyBorder="1"/>
    <x:xf numFmtId="0" fontId="17" fillId="0" borderId="30" xfId="0" applyFont="1" applyBorder="1"/>
    <x:xf numFmtId="0" fontId="22" fillId="0" borderId="30" xfId="0" applyFont="1" applyBorder="1" applyAlignment="1">
      <x:alignment horizontal="left" vertical="center"/>
    </x:xf>
    <x:xf numFmtId="0" fontId="17" fillId="0" borderId="31" xfId="0" applyFont="1" applyBorder="1"/>
    <x:xf numFmtId="0" fontId="25" fillId="0" borderId="30" xfId="0" applyFont="1" applyBorder="1"/>
    <x:xf numFmtId="0" fontId="17" fillId="0" borderId="35" xfId="0" applyFont="1" applyBorder="1"/>
    <x:xf numFmtId="0" fontId="22" fillId="3" borderId="0" xfId="0" applyFont="1" applyFill="1" applyAlignment="1">
      <x:alignment horizontal="left" vertical="center"/>
    </x:xf>
    <x:xf numFmtId="0" fontId="22" fillId="5" borderId="0" xfId="0" applyFont="1" applyFill="1" applyAlignment="1">
      <x:alignment horizontal="left" vertical="center"/>
    </x:xf>
    <x:xf numFmtId="2" fontId="3" fillId="0" borderId="0" xfId="0" applyNumberFormat="1" applyFont="1"/>
    <x:xf numFmtId="164" fontId="27" fillId="0" borderId="5" xfId="0" applyNumberFormat="1" applyFont="1" applyBorder="1"/>
    <x:xf numFmtId="1" fontId="26" fillId="0" borderId="5" xfId="0" applyNumberFormat="1" applyFont="1" applyBorder="1" applyAlignment="1">
      <x:alignment horizontal="center"/>
    </x:xf>
    <x:xf numFmtId="164" fontId="27" fillId="0" borderId="8" xfId="0" applyNumberFormat="1" applyFont="1" applyBorder="1"/>
    <x:xf numFmtId="1" fontId="26" fillId="0" borderId="8" xfId="0" applyNumberFormat="1" applyFont="1" applyBorder="1" applyAlignment="1">
      <x:alignment horizontal="center"/>
    </x:xf>
    <x:xf numFmtId="0" fontId="3" fillId="0" borderId="2" xfId="0" applyFont="1" applyBorder="1" applyAlignment="1">
      <x:alignment horizontal="center" vertical="center"/>
    </x:xf>
    <x:xf numFmtId="0" fontId="26" fillId="0" borderId="2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15" fillId="0" borderId="1" xfId="0" applyFont="1" applyBorder="1" applyAlignment="1">
      <x:alignment horizontal="center" vertical="center"/>
    </x:xf>
    <x:xf numFmtId="0" fontId="14" fillId="0" borderId="0" xfId="0" applyFont="1" applyAlignment="1">
      <x:alignment horizontal="center" vertical="center"/>
    </x:xf>
    <x:xf numFmtId="0" fontId="18" fillId="0" borderId="0" xfId="0" applyFont="1"/>
    <x:xf numFmtId="164" fontId="18" fillId="0" borderId="37" xfId="0" applyNumberFormat="1" applyFont="1" applyBorder="1"/>
    <x:xf numFmtId="2" fontId="17" fillId="0" borderId="37" xfId="0" applyNumberFormat="1" applyFont="1" applyBorder="1"/>
    <x:xf numFmtId="164" fontId="17" fillId="0" borderId="37" xfId="0" applyNumberFormat="1" applyFont="1" applyBorder="1"/>
    <x:xf numFmtId="0" fontId="17" fillId="0" borderId="38" xfId="0" applyFont="1" applyBorder="1"/>
    <x:xf numFmtId="0" fontId="17" fillId="0" borderId="39" xfId="0" applyFont="1" applyBorder="1"/>
    <x:xf numFmtId="0" fontId="16" fillId="0" borderId="0" xfId="0" applyFont="1" applyAlignment="1">
      <x:alignment horizontal="center" vertical="center"/>
    </x:xf>
    <x:xf numFmtId="0" fontId="18" fillId="0" borderId="33" xfId="0" applyFont="1" applyBorder="1" applyAlignment="1">
      <x:alignment horizontal="center" vertical="center"/>
    </x:xf>
    <x:xf numFmtId="0" fontId="18" fillId="0" borderId="34" xfId="0" applyFont="1" applyBorder="1" applyAlignment="1">
      <x:alignment horizontal="center" vertical="center"/>
    </x:xf>
    <x:xf numFmtId="0" fontId="18" fillId="0" borderId="36" xfId="0" applyFont="1" applyBorder="1" applyAlignment="1">
      <x:alignment horizontal="center" vertical="center"/>
    </x:xf>
    <x:xf numFmtId="0" fontId="21" fillId="0" borderId="0" xfId="0" applyFont="1" applyAlignment="1">
      <x:alignment horizontal="center" vertical="center"/>
    </x:xf>
    <x:xf numFmtId="0" fontId="17" fillId="0" borderId="0" xfId="0" applyFont="1" applyAlignment="1">
      <x:alignment horizontal="center" vertical="center"/>
    </x:xf>
    <x:xf numFmtId="0" fontId="17" fillId="4" borderId="0" xfId="0" applyFont="1" applyFill="1" applyAlignment="1">
      <x:alignment horizontal="center" vertical="center"/>
    </x:xf>
    <x:xf numFmtId="164" fontId="3" fillId="0" borderId="0" xfId="0" applyNumberFormat="1" applyFont="1"/>
    <x:xf numFmtId="164" fontId="0" fillId="0" borderId="0" xfId="0" applyNumberFormat="1"/>
    <x:xf numFmtId="0" fontId="18" fillId="0" borderId="35" xfId="0" applyFont="1" applyBorder="1"/>
    <x:xf numFmtId="0" fontId="18" fillId="0" borderId="28" xfId="0" applyFont="1" applyBorder="1"/>
    <x:xf numFmtId="0" fontId="18" fillId="0" borderId="29" xfId="0" applyFont="1" applyBorder="1"/>
    <x:xf numFmtId="0" fontId="18" fillId="0" borderId="32" xfId="0" applyFont="1" applyBorder="1"/>
    <x:xf numFmtId="0" fontId="25" fillId="0" borderId="0" xfId="0" applyFont="1"/>
    <x:xf numFmtId="0" fontId="22" fillId="0" borderId="0" xfId="0" applyFont="1" applyAlignment="1">
      <x:alignment horizontal="left" vertical="center"/>
    </x:xf>
    <x:xf numFmtId="0" fontId="18" fillId="7" borderId="27" xfId="0" applyFont="1" applyFill="1" applyBorder="1"/>
    <x:xf numFmtId="164" fontId="18" fillId="7" borderId="27" xfId="0" applyNumberFormat="1" applyFont="1" applyFill="1" applyBorder="1"/>
    <x:xf numFmtId="164" fontId="18" fillId="7" borderId="37" xfId="0" applyNumberFormat="1" applyFont="1" applyFill="1" applyBorder="1"/>
    <x:xf numFmtId="0" fontId="28" fillId="7" borderId="27" xfId="0" applyFont="1" applyFill="1" applyBorder="1"/>
    <x:xf numFmtId="0" fontId="18" fillId="0" borderId="40" xfId="0" applyFont="1" applyBorder="1"/>
    <x:xf numFmtId="2" fontId="17" fillId="0" borderId="41" xfId="0" applyNumberFormat="1" applyFont="1" applyBorder="1"/>
    <x:xf numFmtId="0" fontId="18" fillId="10" borderId="16" xfId="0" applyFont="1" applyFill="1" applyBorder="1" applyAlignment="1">
      <x:alignment horizontal="center"/>
    </x:xf>
    <x:xf numFmtId="0" fontId="17" fillId="6" borderId="42" xfId="0" applyFont="1" applyFill="1" applyBorder="1" applyAlignment="1">
      <x:alignment horizontal="center"/>
    </x:xf>
    <x:xf numFmtId="0" fontId="17" fillId="6" borderId="43" xfId="0" applyFont="1" applyFill="1" applyBorder="1" applyAlignment="1">
      <x:alignment horizontal="center"/>
    </x:xf>
    <x:xf numFmtId="0" fontId="17" fillId="6" borderId="43" xfId="0" applyFont="1" applyFill="1" applyBorder="1"/>
    <x:xf numFmtId="0" fontId="18" fillId="10" borderId="44" xfId="0" applyFont="1" applyFill="1" applyBorder="1" applyAlignment="1">
      <x:alignment horizontal="center"/>
    </x:xf>
    <x:xf numFmtId="0" fontId="28" fillId="9" borderId="46" xfId="0" applyFont="1" applyFill="1" applyBorder="1" applyAlignment="1">
      <x:alignment horizontal="center"/>
    </x:xf>
    <x:xf numFmtId="0" fontId="17" fillId="8" borderId="46" xfId="0" applyFont="1" applyFill="1" applyBorder="1" applyAlignment="1">
      <x:alignment horizontal="center"/>
    </x:xf>
    <x:xf numFmtId="0" fontId="28" fillId="8" borderId="46" xfId="0" applyFont="1" applyFill="1" applyBorder="1" applyAlignment="1">
      <x:alignment horizontal="center"/>
    </x:xf>
    <x:xf numFmtId="0" fontId="17" fillId="8" borderId="45" xfId="0" applyFont="1" applyFill="1" applyBorder="1" applyAlignment="1">
      <x:alignment horizontal="center"/>
    </x:xf>
    <x:xf numFmtId="0" fontId="17" fillId="0" borderId="45" xfId="0" applyFont="1" applyBorder="1" applyAlignment="1">
      <x:alignment horizontal="center"/>
    </x:xf>
    <x:xf numFmtId="0" fontId="17" fillId="0" borderId="46" xfId="0" applyFont="1" applyBorder="1" applyAlignment="1">
      <x:alignment horizontal="center"/>
    </x:xf>
    <x:xf numFmtId="0" fontId="17" fillId="0" borderId="47" xfId="0" applyFont="1" applyBorder="1" applyAlignment="1">
      <x:alignment horizontal="center"/>
    </x:xf>
    <x:xf numFmtId="0" fontId="17" fillId="0" borderId="48" xfId="0" applyFont="1" applyBorder="1" applyAlignment="1">
      <x:alignment horizontal="center"/>
    </x:xf>
    <x:xf numFmtId="0" fontId="17" fillId="4" borderId="49" xfId="0" applyFont="1" applyFill="1" applyBorder="1" applyAlignment="1">
      <x:alignment horizontal="center"/>
    </x:xf>
    <x:xf numFmtId="0" fontId="17" fillId="9" borderId="46" xfId="0" applyFont="1" applyFill="1" applyBorder="1" applyAlignment="1">
      <x:alignment horizontal="center"/>
    </x:xf>
    <x:xf numFmtId="0" fontId="18" fillId="10" borderId="52" xfId="0" applyFont="1" applyFill="1" applyBorder="1" applyAlignment="1">
      <x:alignment horizontal="center"/>
    </x:xf>
    <x:xf numFmtId="0" fontId="28" fillId="9" borderId="53" xfId="0" applyFont="1" applyFill="1" applyBorder="1" applyAlignment="1">
      <x:alignment horizontal="center"/>
    </x:xf>
    <x:xf numFmtId="0" fontId="28" fillId="8" borderId="53" xfId="0" applyFont="1" applyFill="1" applyBorder="1" applyAlignment="1">
      <x:alignment horizontal="center"/>
    </x:xf>
    <x:xf numFmtId="0" fontId="17" fillId="8" borderId="53" xfId="0" applyFont="1" applyFill="1" applyBorder="1" applyAlignment="1">
      <x:alignment horizontal="center"/>
    </x:xf>
    <x:xf numFmtId="0" fontId="17" fillId="0" borderId="53" xfId="0" applyFont="1" applyBorder="1" applyAlignment="1">
      <x:alignment horizontal="center"/>
    </x:xf>
    <x:xf numFmtId="0" fontId="17" fillId="0" borderId="54" xfId="0" applyFont="1" applyBorder="1" applyAlignment="1">
      <x:alignment horizontal="center"/>
    </x:xf>
    <x:xf numFmtId="0" fontId="17" fillId="0" borderId="55" xfId="0" applyFont="1" applyBorder="1" applyAlignment="1">
      <x:alignment horizontal="center"/>
    </x:xf>
    <x:xf numFmtId="0" fontId="17" fillId="6" borderId="56" xfId="0" applyFont="1" applyFill="1" applyBorder="1"/>
    <x:xf numFmtId="0" fontId="18" fillId="10" borderId="57" xfId="0" applyFont="1" applyFill="1" applyBorder="1" applyAlignment="1">
      <x:alignment horizontal="center"/>
    </x:xf>
    <x:xf numFmtId="0" fontId="17" fillId="9" borderId="45" xfId="0" applyFont="1" applyFill="1" applyBorder="1" applyAlignment="1">
      <x:alignment horizontal="center"/>
    </x:xf>
    <x:xf numFmtId="0" fontId="17" fillId="4" borderId="60" xfId="0" applyFont="1" applyFill="1" applyBorder="1"/>
    <x:xf numFmtId="0" fontId="17" fillId="4" borderId="61" xfId="0" applyFont="1" applyFill="1" applyBorder="1"/>
    <x:xf numFmtId="0" fontId="17" fillId="8" borderId="50" xfId="0" applyFont="1" applyFill="1" applyBorder="1" applyAlignment="1">
      <x:alignment horizontal="center"/>
    </x:xf>
    <x:xf numFmtId="0" fontId="28" fillId="8" borderId="51" xfId="0" applyFont="1" applyFill="1" applyBorder="1" applyAlignment="1">
      <x:alignment horizontal="center"/>
    </x:xf>
    <x:xf numFmtId="164" fontId="17" fillId="9" borderId="46" xfId="0" applyNumberFormat="1" applyFont="1" applyFill="1" applyBorder="1"/>
    <x:xf numFmtId="164" fontId="17" fillId="9" borderId="58" xfId="0" applyNumberFormat="1" applyFont="1" applyFill="1" applyBorder="1"/>
    <x:xf numFmtId="164" fontId="28" fillId="8" borderId="46" xfId="0" applyNumberFormat="1" applyFont="1" applyFill="1" applyBorder="1"/>
    <x:xf numFmtId="164" fontId="17" fillId="8" borderId="46" xfId="0" applyNumberFormat="1" applyFont="1" applyFill="1" applyBorder="1"/>
    <x:xf numFmtId="164" fontId="17" fillId="8" borderId="58" xfId="0" applyNumberFormat="1" applyFont="1" applyFill="1" applyBorder="1"/>
    <x:xf numFmtId="164" fontId="17" fillId="0" borderId="46" xfId="0" applyNumberFormat="1" applyFont="1" applyBorder="1"/>
    <x:xf numFmtId="164" fontId="17" fillId="0" borderId="58" xfId="0" applyNumberFormat="1" applyFont="1" applyBorder="1"/>
    <x:xf numFmtId="164" fontId="17" fillId="0" borderId="48" xfId="0" applyNumberFormat="1" applyFont="1" applyBorder="1"/>
    <x:xf numFmtId="164" fontId="17" fillId="0" borderId="59" xfId="0" applyNumberFormat="1" applyFont="1" applyBorder="1"/>
    <x:xf numFmtId="0" fontId="17" fillId="0" borderId="62" xfId="0" applyFont="1" applyBorder="1" applyAlignment="1">
      <x:alignment horizontal="center"/>
    </x:xf>
    <x:xf numFmtId="0" fontId="17" fillId="0" borderId="63" xfId="0" applyFont="1" applyBorder="1" applyAlignment="1">
      <x:alignment horizontal="center"/>
    </x:xf>
    <x:xf numFmtId="164" fontId="17" fillId="0" borderId="63" xfId="0" applyNumberFormat="1" applyFont="1" applyBorder="1"/>
    <x:xf numFmtId="164" fontId="17" fillId="0" borderId="64" xfId="0" applyNumberFormat="1" applyFont="1" applyBorder="1"/>
    <x:xf numFmtId="0" fontId="0" fillId="0" borderId="65" xfId="0" applyNumberFormat="1" applyFont="1" applyFill="1" applyBorder="1"/>
    <x:xf numFmtId="0" fontId="4" fillId="0" borderId="65" xfId="0" applyNumberFormat="1" applyFont="1" applyFill="1" applyBorder="1"/>
    <x:xf numFmtId="0" fontId="7" fillId="0" borderId="65" xfId="0" applyNumberFormat="1" applyFont="1" applyFill="1" applyBorder="1"/>
    <x:xf numFmtId="0" fontId="8" fillId="0" borderId="65" xfId="0" applyNumberFormat="1" applyFont="1" applyFill="1" applyBorder="1"/>
    <x:xf numFmtId="0" fontId="9" fillId="0" borderId="65" xfId="0" applyNumberFormat="1" applyFont="1" applyFill="1" applyBorder="1"/>
    <x:xf numFmtId="0" fontId="10" fillId="0" borderId="65" xfId="0" applyNumberFormat="1" applyFont="1" applyFill="1" applyBorder="1"/>
    <x:xf numFmtId="2" fontId="0" fillId="0" borderId="65" xfId="0" applyNumberFormat="1" applyFont="1" applyFill="1" applyBorder="1"/>
    <x:xf numFmtId="0" fontId="11" fillId="0" borderId="65" xfId="0" applyNumberFormat="1" applyFont="1" applyFill="1" applyBorder="1"/>
    <x:xf numFmtId="0" fontId="12" fillId="0" borderId="65" xfId="0" applyNumberFormat="1" applyFont="1" applyFill="1" applyBorder="1"/>
    <x:xf numFmtId="0" fontId="13" fillId="0" borderId="65" xfId="0" applyNumberFormat="1" applyFont="1" applyFill="1" applyBorder="1"/>
    <x:xf numFmtId="0" fontId="3" fillId="0" borderId="65" xfId="0" applyNumberFormat="1" applyFont="1" applyFill="1" applyBorder="1"/>
    <x:xf numFmtId="0" fontId="15" fillId="0" borderId="65" xfId="0" applyNumberFormat="1" applyFont="1" applyFill="1" applyBorder="1" applyAlignment="1">
      <x:alignment horizontal="center"/>
    </x:xf>
    <x:xf numFmtId="0" fontId="0" fillId="0" borderId="66" xfId="0" applyNumberFormat="1" applyFont="1" applyFill="1" applyBorder="1"/>
    <x:xf numFmtId="0" fontId="0" fillId="0" borderId="67" xfId="0" applyNumberFormat="1" applyFont="1" applyFill="1" applyBorder="1"/>
    <x:xf numFmtId="164" fontId="0" fillId="0" borderId="67" xfId="0" applyNumberFormat="1" applyFont="1" applyFill="1" applyBorder="1"/>
    <x:xf numFmtId="0" fontId="7" fillId="0" borderId="68" xfId="0" applyNumberFormat="1" applyFont="1" applyFill="1" applyBorder="1"/>
    <x:xf numFmtId="0" fontId="0" fillId="0" borderId="69" xfId="0" applyNumberFormat="1" applyFont="1" applyFill="1" applyBorder="1"/>
    <x:xf numFmtId="0" fontId="0" fillId="0" borderId="70" xfId="0" applyNumberFormat="1" applyFont="1" applyFill="1" applyBorder="1"/>
    <x:xf numFmtId="164" fontId="0" fillId="0" borderId="70" xfId="0" applyNumberFormat="1" applyFont="1" applyFill="1" applyBorder="1"/>
    <x:xf numFmtId="0" fontId="7" fillId="0" borderId="71" xfId="0" applyNumberFormat="1" applyFont="1" applyFill="1" applyBorder="1"/>
    <x:xf numFmtId="0" fontId="0" fillId="0" borderId="72" xfId="0" applyNumberFormat="1" applyFont="1" applyFill="1" applyBorder="1"/>
    <x:xf numFmtId="0" fontId="0" fillId="0" borderId="73" xfId="0" applyNumberFormat="1" applyFont="1" applyFill="1" applyBorder="1"/>
    <x:xf numFmtId="0" fontId="0" fillId="0" borderId="74" xfId="0" applyNumberFormat="1" applyFont="1" applyFill="1" applyBorder="1"/>
    <x:xf numFmtId="0" fontId="15" fillId="0" borderId="74" xfId="0" applyNumberFormat="1" applyFont="1" applyFill="1" applyBorder="1" applyAlignment="1">
      <x:alignment horizontal="center"/>
    </x:xf>
    <x:xf numFmtId="0" fontId="16" fillId="0" borderId="65" xfId="0" applyNumberFormat="1" applyFont="1" applyFill="1" applyBorder="1"/>
    <x:xf numFmtId="0" fontId="17" fillId="0" borderId="65" xfId="0" applyNumberFormat="1" applyFont="1" applyFill="1" applyBorder="1" applyAlignment="1">
      <x:alignment horizontal="center"/>
    </x:xf>
    <x:xf numFmtId="0" fontId="17" fillId="0" borderId="65" xfId="0" applyNumberFormat="1" applyFont="1" applyFill="1" applyBorder="1"/>
    <x:xf numFmtId="0" fontId="17" fillId="2" borderId="75" xfId="0" applyNumberFormat="1" applyFont="1" applyFill="1" applyBorder="1"/>
    <x:xf numFmtId="0" fontId="17" fillId="2" borderId="76" xfId="0" applyNumberFormat="1" applyFont="1" applyFill="1" applyBorder="1"/>
    <x:xf numFmtId="0" fontId="17" fillId="0" borderId="75" xfId="0" applyNumberFormat="1" applyFont="1" applyFill="1" applyBorder="1"/>
    <x:xf numFmtId="0" fontId="17" fillId="2" borderId="77" xfId="0" applyNumberFormat="1" applyFont="1" applyFill="1" applyBorder="1"/>
    <x:xf numFmtId="0" fontId="18" fillId="0" borderId="65" xfId="0" applyNumberFormat="1" applyFont="1" applyFill="1" applyBorder="1" applyAlignment="1">
      <x:alignment horizontal="center"/>
    </x:xf>
    <x:xf numFmtId="0" fontId="18" fillId="0" borderId="78" xfId="0" applyNumberFormat="1" applyFont="1" applyFill="1" applyBorder="1"/>
    <x:xf numFmtId="0" fontId="18" fillId="0" borderId="79" xfId="0" applyNumberFormat="1" applyFont="1" applyFill="1" applyBorder="1"/>
    <x:xf numFmtId="0" fontId="18" fillId="0" borderId="79" xfId="0" applyNumberFormat="1" applyFont="1" applyFill="1" applyBorder="1" applyAlignment="1">
      <x:alignment horizontal="center"/>
    </x:xf>
    <x:xf numFmtId="0" fontId="18" fillId="0" borderId="80" xfId="0" applyNumberFormat="1" applyFont="1" applyFill="1" applyBorder="1"/>
    <x:xf numFmtId="0" fontId="19" fillId="0" borderId="81" xfId="0" applyNumberFormat="1" applyFont="1" applyFill="1" applyBorder="1" applyAlignment="1">
      <x:alignment horizontal="left"/>
    </x:xf>
    <x:xf numFmtId="0" fontId="17" fillId="3" borderId="65" xfId="0" applyNumberFormat="1" applyFont="1" applyFill="1" applyBorder="1"/>
    <x:xf numFmtId="0" fontId="18" fillId="0" borderId="82" xfId="0" applyNumberFormat="1" applyFont="1" applyFill="1" applyBorder="1" applyAlignment="1">
      <x:alignment horizontal="center"/>
    </x:xf>
    <x:xf numFmtId="0" fontId="20" fillId="0" borderId="81" xfId="0" applyNumberFormat="1" applyFont="1" applyFill="1" applyBorder="1"/>
    <x:xf numFmtId="0" fontId="17" fillId="0" borderId="83" xfId="0" applyNumberFormat="1" applyFont="1" applyFill="1" applyBorder="1"/>
    <x:xf numFmtId="0" fontId="18" fillId="0" borderId="84" xfId="0" applyNumberFormat="1" applyFont="1" applyFill="1" applyBorder="1" applyAlignment="1">
      <x:alignment horizontal="center"/>
    </x:xf>
    <x:xf numFmtId="0" fontId="17" fillId="0" borderId="84" xfId="0" applyNumberFormat="1" applyFont="1" applyFill="1" applyBorder="1"/>
    <x:xf numFmtId="0" fontId="17" fillId="0" borderId="85" xfId="0" applyNumberFormat="1" applyFont="1" applyFill="1" applyBorder="1"/>
    <x:xf numFmtId="0" fontId="17" fillId="4" borderId="65" xfId="0" applyNumberFormat="1" applyFont="1" applyFill="1" applyBorder="1" applyAlignment="1">
      <x:alignment horizontal="center"/>
    </x:xf>
    <x:xf numFmtId="0" fontId="5" fillId="4" borderId="86" xfId="0" applyNumberFormat="1" applyFont="1" applyFill="1" applyBorder="1" applyAlignment="1">
      <x:alignment horizontal="center"/>
    </x:xf>
    <x:xf numFmtId="0" fontId="17" fillId="4" borderId="87" xfId="0" applyNumberFormat="1" applyFont="1" applyFill="1" applyBorder="1"/>
    <x:xf numFmtId="0" fontId="17" fillId="4" borderId="65" xfId="0" applyNumberFormat="1" applyFont="1" applyFill="1" applyBorder="1"/>
    <x:xf numFmtId="0" fontId="21" fillId="0" borderId="65" xfId="0" applyNumberFormat="1" applyFont="1" applyFill="1" applyBorder="1"/>
    <x:xf numFmtId="0" fontId="23" fillId="0" borderId="65" xfId="0" applyNumberFormat="1" applyFont="1" applyFill="1" applyBorder="1"/>
    <x:xf numFmtId="0" fontId="24" fillId="0" borderId="65" xfId="0" applyNumberFormat="1" applyFont="1" applyFill="1" applyBorder="1"/>
    <x:xf numFmtId="164" fontId="21" fillId="0" borderId="65" xfId="0" applyNumberFormat="1" applyFont="1" applyFill="1" applyBorder="1"/>
    <x:xf numFmtId="2" fontId="17" fillId="0" borderId="65" xfId="0" applyNumberFormat="1" applyFont="1" applyFill="1" applyBorder="1"/>
    <x:xf numFmtId="0" fontId="18" fillId="0" borderId="88" xfId="0" applyNumberFormat="1" applyFont="1" applyFill="1" applyBorder="1"/>
    <x:xf numFmtId="164" fontId="18" fillId="0" borderId="88" xfId="0" applyNumberFormat="1" applyFont="1" applyFill="1" applyBorder="1"/>
    <x:xf numFmtId="0" fontId="17" fillId="0" borderId="88" xfId="0" applyNumberFormat="1" applyFont="1" applyFill="1" applyBorder="1"/>
    <x:xf numFmtId="2" fontId="17" fillId="0" borderId="88" xfId="0" applyNumberFormat="1" applyFont="1" applyFill="1" applyBorder="1"/>
    <x:xf numFmtId="2" fontId="18" fillId="0" borderId="88" xfId="0" applyNumberFormat="1" applyFont="1" applyFill="1" applyBorder="1"/>
    <x:xf numFmtId="164" fontId="17" fillId="0" borderId="88" xfId="0" applyNumberFormat="1" applyFont="1" applyFill="1" applyBorder="1"/>
    <x:xf numFmtId="0" fontId="17" fillId="0" borderId="89" xfId="0" applyNumberFormat="1" applyFont="1" applyFill="1" applyBorder="1"/>
    <x:xf numFmtId="0" fontId="8" fillId="0" borderId="89" xfId="0" applyNumberFormat="1" applyFont="1" applyFill="1" applyBorder="1" applyAlignment="1">
      <x:alignment horizontal="left" vertical="center"/>
    </x:xf>
    <x:xf numFmtId="0" fontId="17" fillId="0" borderId="90" xfId="0" applyNumberFormat="1" applyFont="1" applyFill="1" applyBorder="1"/>
    <x:xf numFmtId="0" fontId="25" fillId="0" borderId="89" xfId="0" applyNumberFormat="1" applyFont="1" applyFill="1" applyBorder="1"/>
    <x:xf numFmtId="0" fontId="17" fillId="0" borderId="91" xfId="0" applyNumberFormat="1" applyFont="1" applyFill="1" applyBorder="1"/>
    <x:xf numFmtId="0" fontId="8" fillId="3" borderId="65" xfId="0" applyNumberFormat="1" applyFont="1" applyFill="1" applyBorder="1" applyAlignment="1">
      <x:alignment horizontal="left" vertical="center"/>
    </x:xf>
    <x:xf numFmtId="0" fontId="8" fillId="5" borderId="65" xfId="0" applyNumberFormat="1" applyFont="1" applyFill="1" applyBorder="1" applyAlignment="1">
      <x:alignment horizontal="left" vertical="center"/>
    </x:xf>
    <x:xf numFmtId="2" fontId="3" fillId="0" borderId="65" xfId="0" applyNumberFormat="1" applyFont="1" applyFill="1" applyBorder="1"/>
    <x:xf numFmtId="164" fontId="27" fillId="0" borderId="67" xfId="0" applyNumberFormat="1" applyFont="1" applyFill="1" applyBorder="1"/>
    <x:xf numFmtId="1" fontId="26" fillId="0" borderId="67" xfId="0" applyNumberFormat="1" applyFont="1" applyFill="1" applyBorder="1" applyAlignment="1">
      <x:alignment horizontal="center"/>
    </x:xf>
    <x:xf numFmtId="164" fontId="27" fillId="0" borderId="70" xfId="0" applyNumberFormat="1" applyFont="1" applyFill="1" applyBorder="1"/>
    <x:xf numFmtId="1" fontId="26" fillId="0" borderId="70" xfId="0" applyNumberFormat="1" applyFont="1" applyFill="1" applyBorder="1" applyAlignment="1">
      <x:alignment horizontal="center"/>
    </x:xf>
    <x:xf numFmtId="0" fontId="3" fillId="0" borderId="92" xfId="0" applyNumberFormat="1" applyFont="1" applyFill="1" applyBorder="1" applyAlignment="1">
      <x:alignment horizontal="center" vertical="center"/>
    </x:xf>
    <x:xf numFmtId="0" fontId="26" fillId="0" borderId="92" xfId="0" applyNumberFormat="1" applyFont="1" applyFill="1" applyBorder="1" applyAlignment="1">
      <x:alignment horizontal="center" vertical="center"/>
    </x:xf>
    <x:xf numFmtId="0" fontId="6" fillId="0" borderId="93" xfId="0" applyNumberFormat="1" applyFont="1" applyFill="1" applyBorder="1" applyAlignment="1">
      <x:alignment horizontal="center" vertical="center"/>
    </x:xf>
    <x:xf numFmtId="0" fontId="3" fillId="0" borderId="65" xfId="0" applyNumberFormat="1" applyFont="1" applyFill="1" applyBorder="1" applyAlignment="1">
      <x:alignment horizontal="center" vertical="center"/>
    </x:xf>
    <x:xf numFmtId="0" fontId="15" fillId="0" borderId="94" xfId="0" applyNumberFormat="1" applyFont="1" applyFill="1" applyBorder="1" applyAlignment="1">
      <x:alignment horizontal="center" vertical="center"/>
    </x:xf>
    <x:xf numFmtId="0" fontId="0" fillId="0" borderId="65" xfId="0" applyNumberFormat="1" applyFont="1" applyFill="1" applyBorder="1" applyAlignment="1">
      <x:alignment horizontal="center" vertical="center"/>
    </x:xf>
    <x:xf numFmtId="0" fontId="18" fillId="0" borderId="65" xfId="0" applyNumberFormat="1" applyFont="1" applyFill="1" applyBorder="1"/>
    <x:xf numFmtId="164" fontId="18" fillId="0" borderId="95" xfId="0" applyNumberFormat="1" applyFont="1" applyFill="1" applyBorder="1"/>
    <x:xf numFmtId="2" fontId="17" fillId="0" borderId="95" xfId="0" applyNumberFormat="1" applyFont="1" applyFill="1" applyBorder="1"/>
    <x:xf numFmtId="164" fontId="17" fillId="0" borderId="95" xfId="0" applyNumberFormat="1" applyFont="1" applyFill="1" applyBorder="1"/>
    <x:xf numFmtId="0" fontId="17" fillId="0" borderId="96" xfId="0" applyNumberFormat="1" applyFont="1" applyFill="1" applyBorder="1"/>
    <x:xf numFmtId="0" fontId="17" fillId="0" borderId="97" xfId="0" applyNumberFormat="1" applyFont="1" applyFill="1" applyBorder="1"/>
    <x:xf numFmtId="0" fontId="16" fillId="0" borderId="65" xfId="0" applyNumberFormat="1" applyFont="1" applyFill="1" applyBorder="1" applyAlignment="1">
      <x:alignment horizontal="center" vertical="center"/>
    </x:xf>
    <x:xf numFmtId="0" fontId="18" fillId="0" borderId="98" xfId="0" applyNumberFormat="1" applyFont="1" applyFill="1" applyBorder="1" applyAlignment="1">
      <x:alignment horizontal="center" vertical="center"/>
    </x:xf>
    <x:xf numFmtId="0" fontId="18" fillId="0" borderId="99" xfId="0" applyNumberFormat="1" applyFont="1" applyFill="1" applyBorder="1" applyAlignment="1">
      <x:alignment horizontal="center" vertical="center"/>
    </x:xf>
    <x:xf numFmtId="0" fontId="18" fillId="0" borderId="100" xfId="0" applyNumberFormat="1" applyFont="1" applyFill="1" applyBorder="1" applyAlignment="1">
      <x:alignment horizontal="center" vertical="center"/>
    </x:xf>
    <x:xf numFmtId="0" fontId="21" fillId="0" borderId="65" xfId="0" applyNumberFormat="1" applyFont="1" applyFill="1" applyBorder="1" applyAlignment="1">
      <x:alignment horizontal="center" vertical="center"/>
    </x:xf>
    <x:xf numFmtId="0" fontId="17" fillId="0" borderId="65" xfId="0" applyNumberFormat="1" applyFont="1" applyFill="1" applyBorder="1" applyAlignment="1">
      <x:alignment horizontal="center" vertical="center"/>
    </x:xf>
    <x:xf numFmtId="0" fontId="17" fillId="4" borderId="65" xfId="0" applyNumberFormat="1" applyFont="1" applyFill="1" applyBorder="1" applyAlignment="1">
      <x:alignment horizontal="center" vertical="center"/>
    </x:xf>
    <x:xf numFmtId="164" fontId="3" fillId="0" borderId="65" xfId="0" applyNumberFormat="1" applyFont="1" applyFill="1" applyBorder="1"/>
    <x:xf numFmtId="164" fontId="0" fillId="0" borderId="65" xfId="0" applyNumberFormat="1" applyFont="1" applyFill="1" applyBorder="1"/>
    <x:xf numFmtId="0" fontId="18" fillId="0" borderId="91" xfId="0" applyNumberFormat="1" applyFont="1" applyFill="1" applyBorder="1"/>
    <x:xf numFmtId="0" fontId="18" fillId="0" borderId="101" xfId="0" applyNumberFormat="1" applyFont="1" applyFill="1" applyBorder="1"/>
    <x:xf numFmtId="0" fontId="18" fillId="0" borderId="102" xfId="0" applyNumberFormat="1" applyFont="1" applyFill="1" applyBorder="1"/>
    <x:xf numFmtId="0" fontId="18" fillId="0" borderId="103" xfId="0" applyNumberFormat="1" applyFont="1" applyFill="1" applyBorder="1"/>
    <x:xf numFmtId="0" fontId="25" fillId="0" borderId="65" xfId="0" applyNumberFormat="1" applyFont="1" applyFill="1" applyBorder="1"/>
    <x:xf numFmtId="0" fontId="8" fillId="0" borderId="65" xfId="0" applyNumberFormat="1" applyFont="1" applyFill="1" applyBorder="1" applyAlignment="1">
      <x:alignment horizontal="left" vertical="center"/>
    </x:xf>
    <x:xf numFmtId="0" fontId="18" fillId="7" borderId="88" xfId="0" applyNumberFormat="1" applyFont="1" applyFill="1" applyBorder="1"/>
    <x:xf numFmtId="164" fontId="18" fillId="7" borderId="88" xfId="0" applyNumberFormat="1" applyFont="1" applyFill="1" applyBorder="1"/>
    <x:xf numFmtId="164" fontId="18" fillId="7" borderId="95" xfId="0" applyNumberFormat="1" applyFont="1" applyFill="1" applyBorder="1"/>
    <x:xf numFmtId="0" fontId="17" fillId="7" borderId="88" xfId="0" applyNumberFormat="1" applyFont="1" applyFill="1" applyBorder="1"/>
    <x:xf numFmtId="2" fontId="17" fillId="0" borderId="104" xfId="0" applyNumberFormat="1" applyFont="1" applyFill="1" applyBorder="1"/>
    <x:xf numFmtId="0" fontId="18" fillId="10" borderId="105" xfId="0" applyNumberFormat="1" applyFont="1" applyFill="1" applyBorder="1" applyAlignment="1">
      <x:alignment horizontal="center"/>
    </x:xf>
    <x:xf numFmtId="0" fontId="17" fillId="6" borderId="106" xfId="0" applyNumberFormat="1" applyFont="1" applyFill="1" applyBorder="1" applyAlignment="1">
      <x:alignment horizontal="center"/>
    </x:xf>
    <x:xf numFmtId="0" fontId="17" fillId="6" borderId="107" xfId="0" applyNumberFormat="1" applyFont="1" applyFill="1" applyBorder="1" applyAlignment="1">
      <x:alignment horizontal="center"/>
    </x:xf>
    <x:xf numFmtId="0" fontId="17" fillId="6" borderId="107" xfId="0" applyNumberFormat="1" applyFont="1" applyFill="1" applyBorder="1"/>
    <x:xf numFmtId="0" fontId="18" fillId="10" borderId="108" xfId="0" applyNumberFormat="1" applyFont="1" applyFill="1" applyBorder="1" applyAlignment="1">
      <x:alignment horizontal="center"/>
    </x:xf>
    <x:xf numFmtId="0" fontId="17" fillId="9" borderId="109" xfId="0" applyNumberFormat="1" applyFont="1" applyFill="1" applyBorder="1" applyAlignment="1">
      <x:alignment horizontal="center"/>
    </x:xf>
    <x:xf numFmtId="0" fontId="17" fillId="8" borderId="109" xfId="0" applyNumberFormat="1" applyFont="1" applyFill="1" applyBorder="1" applyAlignment="1">
      <x:alignment horizontal="center"/>
    </x:xf>
    <x:xf numFmtId="0" fontId="17" fillId="8" borderId="110" xfId="0" applyNumberFormat="1" applyFont="1" applyFill="1" applyBorder="1" applyAlignment="1">
      <x:alignment horizontal="center"/>
    </x:xf>
    <x:xf numFmtId="0" fontId="17" fillId="0" borderId="110" xfId="0" applyNumberFormat="1" applyFont="1" applyFill="1" applyBorder="1" applyAlignment="1">
      <x:alignment horizontal="center"/>
    </x:xf>
    <x:xf numFmtId="0" fontId="17" fillId="0" borderId="109" xfId="0" applyNumberFormat="1" applyFont="1" applyFill="1" applyBorder="1" applyAlignment="1">
      <x:alignment horizontal="center"/>
    </x:xf>
    <x:xf numFmtId="0" fontId="17" fillId="0" borderId="111" xfId="0" applyNumberFormat="1" applyFont="1" applyFill="1" applyBorder="1" applyAlignment="1">
      <x:alignment horizontal="center"/>
    </x:xf>
    <x:xf numFmtId="0" fontId="17" fillId="0" borderId="112" xfId="0" applyNumberFormat="1" applyFont="1" applyFill="1" applyBorder="1" applyAlignment="1">
      <x:alignment horizontal="center"/>
    </x:xf>
    <x:xf numFmtId="0" fontId="17" fillId="4" borderId="113" xfId="0" applyNumberFormat="1" applyFont="1" applyFill="1" applyBorder="1" applyAlignment="1">
      <x:alignment horizontal="center"/>
    </x:xf>
    <x:xf numFmtId="0" fontId="18" fillId="10" borderId="114" xfId="0" applyNumberFormat="1" applyFont="1" applyFill="1" applyBorder="1" applyAlignment="1">
      <x:alignment horizontal="center"/>
    </x:xf>
    <x:xf numFmtId="0" fontId="17" fillId="9" borderId="115" xfId="0" applyNumberFormat="1" applyFont="1" applyFill="1" applyBorder="1" applyAlignment="1">
      <x:alignment horizontal="center"/>
    </x:xf>
    <x:xf numFmtId="0" fontId="17" fillId="8" borderId="115" xfId="0" applyNumberFormat="1" applyFont="1" applyFill="1" applyBorder="1" applyAlignment="1">
      <x:alignment horizontal="center"/>
    </x:xf>
    <x:xf numFmtId="0" fontId="17" fillId="0" borderId="115" xfId="0" applyNumberFormat="1" applyFont="1" applyFill="1" applyBorder="1" applyAlignment="1">
      <x:alignment horizontal="center"/>
    </x:xf>
    <x:xf numFmtId="0" fontId="17" fillId="0" borderId="116" xfId="0" applyNumberFormat="1" applyFont="1" applyFill="1" applyBorder="1" applyAlignment="1">
      <x:alignment horizontal="center"/>
    </x:xf>
    <x:xf numFmtId="0" fontId="17" fillId="0" borderId="117" xfId="0" applyNumberFormat="1" applyFont="1" applyFill="1" applyBorder="1" applyAlignment="1">
      <x:alignment horizontal="center"/>
    </x:xf>
    <x:xf numFmtId="0" fontId="17" fillId="6" borderId="118" xfId="0" applyNumberFormat="1" applyFont="1" applyFill="1" applyBorder="1"/>
    <x:xf numFmtId="0" fontId="18" fillId="10" borderId="119" xfId="0" applyNumberFormat="1" applyFont="1" applyFill="1" applyBorder="1" applyAlignment="1">
      <x:alignment horizontal="center"/>
    </x:xf>
    <x:xf numFmtId="0" fontId="17" fillId="9" borderId="110" xfId="0" applyNumberFormat="1" applyFont="1" applyFill="1" applyBorder="1" applyAlignment="1">
      <x:alignment horizontal="center"/>
    </x:xf>
    <x:xf numFmtId="0" fontId="17" fillId="4" borderId="120" xfId="0" applyNumberFormat="1" applyFont="1" applyFill="1" applyBorder="1"/>
    <x:xf numFmtId="0" fontId="17" fillId="4" borderId="121" xfId="0" applyNumberFormat="1" applyFont="1" applyFill="1" applyBorder="1"/>
    <x:xf numFmtId="0" fontId="17" fillId="8" borderId="122" xfId="0" applyNumberFormat="1" applyFont="1" applyFill="1" applyBorder="1" applyAlignment="1">
      <x:alignment horizontal="center"/>
    </x:xf>
    <x:xf numFmtId="0" fontId="17" fillId="8" borderId="123" xfId="0" applyNumberFormat="1" applyFont="1" applyFill="1" applyBorder="1" applyAlignment="1">
      <x:alignment horizontal="center"/>
    </x:xf>
    <x:xf numFmtId="164" fontId="17" fillId="9" borderId="109" xfId="0" applyNumberFormat="1" applyFont="1" applyFill="1" applyBorder="1"/>
    <x:xf numFmtId="164" fontId="17" fillId="9" borderId="124" xfId="0" applyNumberFormat="1" applyFont="1" applyFill="1" applyBorder="1"/>
    <x:xf numFmtId="164" fontId="17" fillId="8" borderId="109" xfId="0" applyNumberFormat="1" applyFont="1" applyFill="1" applyBorder="1"/>
    <x:xf numFmtId="164" fontId="17" fillId="8" borderId="124" xfId="0" applyNumberFormat="1" applyFont="1" applyFill="1" applyBorder="1"/>
    <x:xf numFmtId="164" fontId="17" fillId="0" borderId="109" xfId="0" applyNumberFormat="1" applyFont="1" applyFill="1" applyBorder="1"/>
    <x:xf numFmtId="164" fontId="17" fillId="0" borderId="124" xfId="0" applyNumberFormat="1" applyFont="1" applyFill="1" applyBorder="1"/>
    <x:xf numFmtId="164" fontId="17" fillId="0" borderId="112" xfId="0" applyNumberFormat="1" applyFont="1" applyFill="1" applyBorder="1"/>
    <x:xf numFmtId="164" fontId="17" fillId="0" borderId="125" xfId="0" applyNumberFormat="1" applyFont="1" applyFill="1" applyBorder="1"/>
    <x:xf numFmtId="0" fontId="17" fillId="0" borderId="126" xfId="0" applyNumberFormat="1" applyFont="1" applyFill="1" applyBorder="1" applyAlignment="1">
      <x:alignment horizontal="center"/>
    </x:xf>
    <x:xf numFmtId="0" fontId="17" fillId="0" borderId="127" xfId="0" applyNumberFormat="1" applyFont="1" applyFill="1" applyBorder="1" applyAlignment="1">
      <x:alignment horizontal="center"/>
    </x:xf>
    <x:xf numFmtId="164" fontId="17" fillId="0" borderId="127" xfId="0" applyNumberFormat="1" applyFont="1" applyFill="1" applyBorder="1"/>
    <x:xf numFmtId="164" fontId="17" fillId="0" borderId="128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8" fillId="10" borderId="52" xfId="0" applyNumberFormat="1" applyFont="1" applyFill="1" applyBorder="1" applyAlignment="1">
      <x:alignment horizontal="center" wrapText="1"/>
    </x:xf>
    <x:xf numFmtId="0" fontId="18" fillId="10" borderId="44" xfId="0" applyNumberFormat="1" applyFont="1" applyFill="1" applyBorder="1" applyAlignment="1">
      <x:alignment horizontal="center" wrapText="1"/>
    </x:xf>
    <x:xf numFmtId="0" fontId="18" fillId="10" borderId="16" xfId="0" applyNumberFormat="1" applyFont="1" applyFill="1" applyBorder="1" applyAlignment="1">
      <x:alignment horizontal="center" wrapText="1"/>
    </x:xf>
    <x:xf numFmtId="0" fontId="18" fillId="10" borderId="57" xfId="0" applyNumberFormat="1" applyFont="1" applyFill="1" applyBorder="1" applyAlignment="1">
      <x:alignment horizontal="center" wrapText="1"/>
    </x:xf>
    <x:xf numFmtId="0" fontId="18" fillId="0" borderId="0" xfId="0" applyNumberFormat="1" applyFont="1" applyFill="1" applyBorder="1" applyAlignment="1">
      <x:alignment horizontal="center" wrapText="1"/>
    </x:xf>
    <x:xf numFmtId="0" fontId="18" fillId="0" borderId="17" xfId="0" applyNumberFormat="1" applyFont="1" applyFill="1" applyBorder="1" applyAlignment="1">
      <x:alignment wrapText="1"/>
    </x:xf>
    <x:xf numFmtId="0" fontId="18" fillId="0" borderId="18" xfId="0" applyNumberFormat="1" applyFont="1" applyFill="1" applyBorder="1" applyAlignment="1">
      <x:alignment wrapText="1"/>
    </x:xf>
    <x:xf numFmtId="0" fontId="18" fillId="0" borderId="18" xfId="0" applyNumberFormat="1" applyFont="1" applyFill="1" applyBorder="1" applyAlignment="1">
      <x:alignment horizontal="center" wrapText="1"/>
    </x:xf>
    <x:xf numFmtId="0" fontId="18" fillId="0" borderId="19" xfId="0" applyNumberFormat="1" applyFont="1" applyFill="1" applyBorder="1" applyAlignment="1">
      <x:alignment wrapText="1"/>
    </x:xf>
    <x:xf numFmtId="0" fontId="16" fillId="0" borderId="65" xfId="0" applyNumberFormat="1" applyFont="1" applyFill="1" applyBorder="1" applyAlignment="1">
      <x:alignment wrapText="1"/>
    </x:xf>
    <x:xf numFmtId="0" fontId="18" fillId="10" borderId="114" xfId="0" applyNumberFormat="1" applyFont="1" applyFill="1" applyBorder="1" applyAlignment="1">
      <x:alignment horizontal="center" wrapText="1"/>
    </x:xf>
    <x:xf numFmtId="0" fontId="18" fillId="10" borderId="108" xfId="0" applyNumberFormat="1" applyFont="1" applyFill="1" applyBorder="1" applyAlignment="1">
      <x:alignment horizontal="center" wrapText="1"/>
    </x:xf>
    <x:xf numFmtId="0" fontId="18" fillId="10" borderId="105" xfId="0" applyNumberFormat="1" applyFont="1" applyFill="1" applyBorder="1" applyAlignment="1">
      <x:alignment horizontal="center" wrapText="1"/>
    </x:xf>
    <x:xf numFmtId="0" fontId="18" fillId="10" borderId="119" xfId="0" applyNumberFormat="1" applyFont="1" applyFill="1" applyBorder="1" applyAlignment="1">
      <x:alignment horizontal="center" wrapText="1"/>
    </x:xf>
    <x:xf numFmtId="0" fontId="18" fillId="0" borderId="65" xfId="0" applyNumberFormat="1" applyFont="1" applyFill="1" applyBorder="1" applyAlignment="1">
      <x:alignment horizontal="center" wrapText="1"/>
    </x:xf>
    <x:xf numFmtId="0" fontId="18" fillId="0" borderId="78" xfId="0" applyNumberFormat="1" applyFont="1" applyFill="1" applyBorder="1" applyAlignment="1">
      <x:alignment wrapText="1"/>
    </x:xf>
    <x:xf numFmtId="0" fontId="18" fillId="0" borderId="79" xfId="0" applyNumberFormat="1" applyFont="1" applyFill="1" applyBorder="1" applyAlignment="1">
      <x:alignment wrapText="1"/>
    </x:xf>
    <x:xf numFmtId="0" fontId="18" fillId="0" borderId="79" xfId="0" applyNumberFormat="1" applyFont="1" applyFill="1" applyBorder="1" applyAlignment="1">
      <x:alignment horizontal="center" wrapText="1"/>
    </x:xf>
    <x:xf numFmtId="0" fontId="18" fillId="0" borderId="80" xfId="0" applyNumberFormat="1" applyFont="1" applyFill="1" applyBorder="1" applyAlignment="1">
      <x:alignment wrapText="1"/>
    </x:xf>
    <x:xf numFmtId="0" fontId="18" fillId="0" borderId="33" xfId="0" applyNumberFormat="1" applyFont="1" applyFill="1" applyBorder="1" applyAlignment="1">
      <x:alignment horizontal="center" vertical="center" wrapText="1"/>
    </x:xf>
    <x:xf numFmtId="0" fontId="18" fillId="0" borderId="34" xfId="0" applyNumberFormat="1" applyFont="1" applyFill="1" applyBorder="1" applyAlignment="1">
      <x:alignment horizontal="center" vertical="center" wrapText="1"/>
    </x:xf>
    <x:xf numFmtId="0" fontId="18" fillId="0" borderId="36" xfId="0" applyNumberFormat="1" applyFont="1" applyFill="1" applyBorder="1" applyAlignment="1">
      <x:alignment horizontal="center" vertical="center" wrapText="1"/>
    </x:xf>
    <x:xf numFmtId="0" fontId="18" fillId="0" borderId="98" xfId="0" applyNumberFormat="1" applyFont="1" applyFill="1" applyBorder="1" applyAlignment="1">
      <x:alignment horizontal="center" vertical="center" wrapText="1"/>
    </x:xf>
    <x:xf numFmtId="0" fontId="18" fillId="0" borderId="99" xfId="0" applyNumberFormat="1" applyFont="1" applyFill="1" applyBorder="1" applyAlignment="1">
      <x:alignment horizontal="center" vertical="center" wrapText="1"/>
    </x:xf>
    <x:xf numFmtId="0" fontId="18" fillId="0" borderId="100" xfId="0" applyNumberFormat="1" applyFont="1" applyFill="1" applyBorder="1" applyAlignment="1">
      <x:alignment horizontal="center" vertical="center" wrapText="1"/>
    </x:xf>
    <x:xf numFmtId="0" fontId="15" fillId="0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26" fillId="0" borderId="2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 applyAlignment="1">
      <x:alignment horizontal="center" vertical="center" wrapText="1"/>
    </x:xf>
    <x:xf numFmtId="0" fontId="15" fillId="0" borderId="94" xfId="0" applyNumberFormat="1" applyFont="1" applyFill="1" applyBorder="1" applyAlignment="1">
      <x:alignment horizontal="center" vertical="center" wrapText="1"/>
    </x:xf>
    <x:xf numFmtId="0" fontId="3" fillId="0" borderId="92" xfId="0" applyNumberFormat="1" applyFont="1" applyFill="1" applyBorder="1" applyAlignment="1">
      <x:alignment horizontal="center" vertical="center" wrapText="1"/>
    </x:xf>
    <x:xf numFmtId="0" fontId="26" fillId="0" borderId="92" xfId="0" applyNumberFormat="1" applyFont="1" applyFill="1" applyBorder="1" applyAlignment="1">
      <x:alignment horizontal="center" vertical="center" wrapText="1"/>
    </x:xf>
    <x:xf numFmtId="0" fontId="6" fillId="0" borderId="9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2">
    <x:cellStyle name="Normale" xfId="0"/>
    <x:cellStyle name="Normale 2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DD0806"/>
      <x:rgbColor rgb="001FB714"/>
      <x:rgbColor rgb="000000D4"/>
      <x:rgbColor rgb="00FCF305"/>
      <x:rgbColor rgb="00F20884"/>
      <x:rgbColor rgb="0000ABEA"/>
      <x:rgbColor rgb="00900000"/>
      <x:rgbColor rgb="00006411"/>
      <x:rgbColor rgb="00000090"/>
      <x:rgbColor rgb="0090713A"/>
      <x:rgbColor rgb="004600A5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2a1d2b4b5940b3" /><Relationship Type="http://schemas.openxmlformats.org/officeDocument/2006/relationships/theme" Target="/xl/theme/theme1.xml" Id="Radced5ce25314546" /><Relationship Type="http://schemas.openxmlformats.org/officeDocument/2006/relationships/sharedStrings" Target="/xl/sharedStrings.xml" Id="R0d6edaa744be4c9e" /><Relationship Type="http://schemas.openxmlformats.org/officeDocument/2006/relationships/worksheet" Target="/xl/worksheets/sheet1.xml" Id="Rd6f94bfecb2c4193" /><Relationship Type="http://schemas.openxmlformats.org/officeDocument/2006/relationships/worksheet" Target="/xl/worksheets/sheet2.xml" Id="Rce7eb32de072474f" /><Relationship Type="http://schemas.openxmlformats.org/officeDocument/2006/relationships/worksheet" Target="/xl/worksheets/sheet3.xml" Id="Rb9f2c613632d4338" /><Relationship Type="http://schemas.openxmlformats.org/officeDocument/2006/relationships/worksheet" Target="/xl/worksheets/sheet4.xml" Id="R58a3a35023ff43e6" /><Relationship Type="http://schemas.openxmlformats.org/officeDocument/2006/relationships/worksheet" Target="/xl/worksheets/sheet5.xml" Id="R98abd305a2664718" /><Relationship Type="http://schemas.openxmlformats.org/officeDocument/2006/relationships/worksheet" Target="/xl/worksheets/sheet6.xml" Id="R26fffe322438452f" /><Relationship Type="http://schemas.openxmlformats.org/officeDocument/2006/relationships/worksheet" Target="/xl/worksheets/sheet7.xml" Id="R549f1ac1a76f4491" /><Relationship Type="http://schemas.openxmlformats.org/officeDocument/2006/relationships/worksheet" Target="/xl/worksheets/sheet8.xml" Id="Rc5a55a71628040d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4e74bd64c7d94b3e" /><Relationship Type="http://schemas.openxmlformats.org/officeDocument/2006/relationships/image" Target="/xl/media/image2.png" Id="R55fdc06ae31d4f4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aab5be8bef496f" /><Relationship Type="http://schemas.openxmlformats.org/officeDocument/2006/relationships/chart" Target="/xl/drawings/charts/chart2.xml" Id="Rcf9b9649119547db" /><Relationship Type="http://schemas.openxmlformats.org/officeDocument/2006/relationships/chart" Target="/xl/drawings/charts/chart3.xml" Id="Rd6a56501c337487b" /><Relationship Type="http://schemas.openxmlformats.org/officeDocument/2006/relationships/chart" Target="/xl/drawings/charts/chart4.xml" Id="R49eb4899cc5d4313" /><Relationship Type="http://schemas.openxmlformats.org/officeDocument/2006/relationships/chart" Target="/xl/drawings/charts/chart5.xml" Id="Re0092e533b73450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4f025b93ebe54068" /><Relationship Type="http://schemas.openxmlformats.org/officeDocument/2006/relationships/chart" Target="/xl/drawings/charts/chart7.xml" Id="R1425dc086504467c" /><Relationship Type="http://schemas.openxmlformats.org/officeDocument/2006/relationships/chart" Target="/xl/drawings/charts/chart8.xml" Id="Ra9f5845fa96d4f73" /><Relationship Type="http://schemas.openxmlformats.org/officeDocument/2006/relationships/chart" Target="/xl/drawings/charts/chart9.xml" Id="R2924d56dcedc4c5c" /><Relationship Type="http://schemas.openxmlformats.org/officeDocument/2006/relationships/chart" Target="/xl/drawings/charts/chart10.xml" Id="R5b10111439384afd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view3D>
      <c:rotX val="30"/>
      <c:rotY val="0"/>
      <c:rAngAx val="0"/>
      <c:perspective val="0"/>
    </c:view3D>
    <c:plotArea>
      <c:layout/>
      <c:pie3DChart>
        <c:ser>
          <c:idx val="0"/>
          <c:order val="0"/>
          <c:tx>
            <c:strRef>
              <c:f>'INPUT Data'!$P$6</c:f>
              <c:strCache>
                <c:ptCount val="1"/>
                <c:pt idx="0">
                  <c:v>Number of judge</c:v>
                </c:pt>
              </c:strCache>
            </c:strRef>
          </c:tx>
          <c:spPr>
            <a:solidFill xmlns:a="http://schemas.openxmlformats.org/drawingml/2006/main">
              <a:srgbClr val="006411"/>
            </a:solidFill>
            <a:ln xmlns:a="http://schemas.openxmlformats.org/drawingml/2006/main" w="25400">
              <a:noFill/>
            </a:ln>
          </c:spPr>
          <c:explosion val="25"/>
          <c:dPt>
            <c:idx val="0"/>
            <c:spPr>
              <a:solidFill xmlns:a="http://schemas.openxmlformats.org/drawingml/2006/main">
                <a:srgbClr val="1FB714"/>
              </a:solidFill>
              <a:ln xmlns:a="http://schemas.openxmlformats.org/drawingml/2006/main" w="2540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003300"/>
              </a:solidFill>
              <a:ln xmlns:a="http://schemas.openxmlformats.org/drawingml/2006/main" w="25400">
                <a:noFill/>
              </a:ln>
            </c:spPr>
          </c:dPt>
          <c:cat>
            <c:strRef>
              <c:f>'INPUT Data'!$O$7:$O$8</c:f>
              <c:strCache>
                <c:ptCount val="2"/>
                <c:pt idx="0">
                  <c:v>Green fruity</c:v>
                </c:pt>
                <c:pt idx="1">
                  <c:v>Ripe fruity</c:v>
                </c:pt>
              </c:strCache>
            </c:strRef>
          </c:cat>
          <c:val>
            <c:numRef>
              <c:f>'INPUT Data'!$P$7:$P$8</c:f>
              <c:numCache>
                <c:formatCode>General</c:formatCode>
                <c:ptCount val="2"/>
                <c:pt idx="0">
                  <c:v>6</c:v>
                </c:pt>
                <c:pt idx="1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spPr>
        <a:solidFill xmlns:a="http://schemas.openxmlformats.org/drawingml/2006/main">
          <a:srgbClr val="FFFFFF"/>
        </a:solidFill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95" b="0" i="0" u="none">
              <a:solidFill>
                <a:srgbClr val="000000"/>
              </a:solidFill>
              <a:latin typeface="Verdana"/>
              <a:ea typeface="Verdana"/>
              <a:cs typeface="Verdana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view3D>
      <c:rotX val="30"/>
      <c:rotY val="0"/>
      <c:rAngAx val="0"/>
      <c:perspective val="0"/>
    </c:view3D>
    <c:plotArea>
      <c:layout/>
      <c:pie3DChart>
        <c:ser>
          <c:idx val="0"/>
          <c:order val="0"/>
          <c:tx>
            <c:strRef>
              <c:f>'INPUT Data'!$P$29</c:f>
              <c:strCache>
                <c:ptCount val="1"/>
                <c:pt idx="0">
                  <c:v>Number of judge</c:v>
                </c:pt>
              </c:strCache>
            </c:strRef>
          </c:tx>
          <c:spPr>
            <a:solidFill xmlns:a="http://schemas.openxmlformats.org/drawingml/2006/main">
              <a:srgbClr val="9999FF"/>
            </a:solidFill>
            <a:ln xmlns:a="http://schemas.openxmlformats.org/drawingml/2006/main" w="25400">
              <a:noFill/>
            </a:ln>
          </c:spPr>
          <c:explosion val="25"/>
          <c:dPt>
            <c:idx val="0"/>
            <c:spPr>
              <a:solidFill xmlns:a="http://schemas.openxmlformats.org/drawingml/2006/main">
                <a:srgbClr val="1FB714"/>
              </a:solidFill>
              <a:ln xmlns:a="http://schemas.openxmlformats.org/drawingml/2006/main" w="2540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003300"/>
              </a:solidFill>
              <a:ln xmlns:a="http://schemas.openxmlformats.org/drawingml/2006/main" w="25400">
                <a:noFill/>
              </a:ln>
            </c:spPr>
          </c:dPt>
          <c:cat>
            <c:strRef>
              <c:f>'INPUT Data'!$O$30:$O$31</c:f>
              <c:strCache>
                <c:ptCount val="2"/>
                <c:pt idx="0">
                  <c:v>Green fruity</c:v>
                </c:pt>
                <c:pt idx="1">
                  <c:v>Ripe fruity</c:v>
                </c:pt>
              </c:strCache>
            </c:strRef>
          </c:cat>
          <c:val>
            <c:numRef>
              <c:f>'INPUT Data'!$P$30:$P$31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spPr>
        <a:solidFill xmlns:a="http://schemas.openxmlformats.org/drawingml/2006/main">
          <a:srgbClr val="FFFFFF"/>
        </a:solidFill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95" b="0" i="0" u="none">
              <a:solidFill>
                <a:srgbClr val="000000"/>
              </a:solidFill>
              <a:latin typeface="Verdana"/>
              <a:ea typeface="Verdana"/>
              <a:cs typeface="Verdana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view3D>
      <c:rotX val="30"/>
      <c:rotY val="0"/>
      <c:rAngAx val="0"/>
      <c:perspective val="0"/>
    </c:view3D>
    <c:plotArea>
      <c:layout/>
      <c:pie3DChart>
        <c:ser>
          <c:idx val="0"/>
          <c:order val="0"/>
          <c:tx>
            <c:strRef>
              <c:f>'INPUT Data'!$P$52</c:f>
              <c:strCache>
                <c:ptCount val="1"/>
                <c:pt idx="0">
                  <c:v>Number of judge</c:v>
                </c:pt>
              </c:strCache>
            </c:strRef>
          </c:tx>
          <c:spPr>
            <a:solidFill xmlns:a="http://schemas.openxmlformats.org/drawingml/2006/main">
              <a:srgbClr val="003300"/>
            </a:solidFill>
            <a:ln xmlns:a="http://schemas.openxmlformats.org/drawingml/2006/main" w="25400">
              <a:noFill/>
            </a:ln>
          </c:spPr>
          <c:explosion val="25"/>
          <c:dPt>
            <c:idx val="0"/>
            <c:spPr>
              <a:solidFill xmlns:a="http://schemas.openxmlformats.org/drawingml/2006/main">
                <a:srgbClr val="1FB714"/>
              </a:solidFill>
              <a:ln xmlns:a="http://schemas.openxmlformats.org/drawingml/2006/main" w="25400">
                <a:noFill/>
              </a:ln>
            </c:spPr>
          </c:dPt>
          <c:cat>
            <c:strRef>
              <c:f>'INPUT Data'!$O$53:$O$54</c:f>
              <c:strCache>
                <c:ptCount val="2"/>
                <c:pt idx="0">
                  <c:v>Green fruity</c:v>
                </c:pt>
                <c:pt idx="1">
                  <c:v>Ripe fruity</c:v>
                </c:pt>
              </c:strCache>
            </c:strRef>
          </c:cat>
          <c:val>
            <c:numRef>
              <c:f>'INPUT Data'!$P$53:$P$54</c:f>
              <c:numCache>
                <c:formatCode>General</c:formatCode>
                <c:ptCount val="2"/>
                <c:pt idx="0">
                  <c:v>6</c:v>
                </c:pt>
                <c:pt idx="1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spPr>
        <a:solidFill xmlns:a="http://schemas.openxmlformats.org/drawingml/2006/main">
          <a:srgbClr val="FFFFFF"/>
        </a:solidFill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40" b="0" i="0" u="none">
              <a:solidFill>
                <a:srgbClr val="000000"/>
              </a:solidFill>
              <a:latin typeface="Verdana"/>
              <a:ea typeface="Verdana"/>
              <a:cs typeface="Verdana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c:spPr>
</c:chartSpace>
</file>

<file path=xl/drawings/charts/chart4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view3D>
      <c:rotX val="30"/>
      <c:rotY val="0"/>
      <c:rAngAx val="0"/>
      <c:perspective val="0"/>
    </c:view3D>
    <c:plotArea>
      <c:layout/>
      <c:pie3DChart>
        <c:ser>
          <c:idx val="0"/>
          <c:order val="0"/>
          <c:tx>
            <c:strRef>
              <c:f>'INPUT Data'!$P$75</c:f>
              <c:strCache>
                <c:ptCount val="1"/>
                <c:pt idx="0">
                  <c:v>Number of judge</c:v>
                </c:pt>
              </c:strCache>
            </c:strRef>
          </c:tx>
          <c:spPr>
            <a:solidFill xmlns:a="http://schemas.openxmlformats.org/drawingml/2006/main">
              <a:srgbClr val="9999FF"/>
            </a:solidFill>
            <a:ln xmlns:a="http://schemas.openxmlformats.org/drawingml/2006/main" w="25400">
              <a:noFill/>
            </a:ln>
          </c:spPr>
          <c:explosion val="60"/>
          <c:dPt>
            <c:idx val="0"/>
            <c:spPr>
              <a:solidFill xmlns:a="http://schemas.openxmlformats.org/drawingml/2006/main">
                <a:srgbClr val="1FB714"/>
              </a:solidFill>
              <a:ln xmlns:a="http://schemas.openxmlformats.org/drawingml/2006/main" w="2540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003300"/>
              </a:solidFill>
              <a:ln xmlns:a="http://schemas.openxmlformats.org/drawingml/2006/main" w="25400">
                <a:noFill/>
              </a:ln>
            </c:spPr>
          </c:dPt>
          <c:cat>
            <c:strRef>
              <c:f>'INPUT Data'!$O$76:$O$77</c:f>
              <c:strCache>
                <c:ptCount val="2"/>
                <c:pt idx="0">
                  <c:v>Green fruity</c:v>
                </c:pt>
                <c:pt idx="1">
                  <c:v>Ripe fruity</c:v>
                </c:pt>
              </c:strCache>
            </c:strRef>
          </c:cat>
          <c:val>
            <c:numRef>
              <c:f>'INPUT Data'!$P$76:$P$77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spPr>
        <a:solidFill xmlns:a="http://schemas.openxmlformats.org/drawingml/2006/main">
          <a:srgbClr val="FFFFFF"/>
        </a:solidFill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40" b="0" i="0" u="none">
              <a:solidFill>
                <a:srgbClr val="000000"/>
              </a:solidFill>
              <a:latin typeface="Verdana"/>
              <a:ea typeface="Verdana"/>
              <a:cs typeface="Verdana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c:spPr>
</c:chartSpace>
</file>

<file path=xl/drawings/charts/chart5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view3D>
      <c:rotX val="30"/>
      <c:rotY val="0"/>
      <c:rAngAx val="0"/>
      <c:perspective val="0"/>
    </c:view3D>
    <c:plotArea>
      <c:layout/>
      <c:pie3DChart>
        <c:ser>
          <c:idx val="0"/>
          <c:order val="0"/>
          <c:tx>
            <c:strRef>
              <c:f>'INPUT Data'!$P$98</c:f>
              <c:strCache>
                <c:ptCount val="1"/>
                <c:pt idx="0">
                  <c:v>Number of judge</c:v>
                </c:pt>
              </c:strCache>
            </c:strRef>
          </c:tx>
          <c:spPr>
            <a:solidFill xmlns:a="http://schemas.openxmlformats.org/drawingml/2006/main">
              <a:srgbClr val="9999FF"/>
            </a:solidFill>
            <a:ln xmlns:a="http://schemas.openxmlformats.org/drawingml/2006/main" w="25400">
              <a:noFill/>
            </a:ln>
          </c:spPr>
          <c:explosion val="25"/>
          <c:dPt>
            <c:idx val="0"/>
            <c:spPr>
              <a:solidFill xmlns:a="http://schemas.openxmlformats.org/drawingml/2006/main">
                <a:srgbClr val="1FB714"/>
              </a:solidFill>
              <a:ln xmlns:a="http://schemas.openxmlformats.org/drawingml/2006/main" w="2540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003300"/>
              </a:solidFill>
              <a:ln xmlns:a="http://schemas.openxmlformats.org/drawingml/2006/main" w="25400">
                <a:noFill/>
              </a:ln>
            </c:spPr>
          </c:dPt>
          <c:cat>
            <c:strRef>
              <c:f>'INPUT Data'!$O$99:$O$100</c:f>
              <c:strCache>
                <c:ptCount val="2"/>
                <c:pt idx="0">
                  <c:v>Green fruity</c:v>
                </c:pt>
                <c:pt idx="1">
                  <c:v>Ripe fruity</c:v>
                </c:pt>
              </c:strCache>
            </c:strRef>
          </c:cat>
          <c:val>
            <c:numRef>
              <c:f>'INPUT Data'!$P$99:$P$100</c:f>
              <c:numCache>
                <c:formatCode>General</c:formatCode>
                <c:ptCount val="2"/>
                <c:pt idx="0">
                  <c:v>5</c:v>
                </c:pt>
                <c:pt idx="1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spPr>
        <a:solidFill xmlns:a="http://schemas.openxmlformats.org/drawingml/2006/main">
          <a:srgbClr val="FFFFFF"/>
        </a:solidFill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0" i="0" u="none">
              <a:solidFill>
                <a:srgbClr val="000000"/>
              </a:solidFill>
              <a:latin typeface="Verdana"/>
              <a:ea typeface="Verdana"/>
              <a:cs typeface="Verdana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c:spPr>
</c:chartSpace>
</file>

<file path=xl/drawings/charts/chart6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DG!$A$2</c:f>
              <c:strCache>
                <c:ptCount val="1"/>
                <c:pt idx="0">
                  <c:v>0,0</c:v>
                </c:pt>
              </c:strCache>
            </c:strRef>
          </c:tx>
          <c:spPr>
            <a:solidFill xmlns:a="http://schemas.openxmlformats.org/drawingml/2006/main">
              <a:srgbClr val="DD0806"/>
            </a:solidFill>
            <a:ln xmlns:a="http://schemas.openxmlformats.org/drawingml/2006/main" w="12700">
              <a:solidFill>
                <a:srgbClr val="DD0806"/>
              </a:solidFill>
              <a:prstDash val="solid"/>
            </a:ln>
          </c:spPr>
          <c:dPt>
            <c:idx val="6"/>
            <c:spPr>
              <a:solidFill xmlns:a="http://schemas.openxmlformats.org/drawingml/2006/main">
                <a:srgbClr val="0000FF"/>
              </a:solidFill>
              <a:ln xmlns:a="http://schemas.openxmlformats.org/drawingml/2006/main" w="12700">
                <a:solidFill>
                  <a:srgbClr val="0000FF"/>
                </a:solidFill>
                <a:prstDash val="solid"/>
              </a:ln>
            </c:spPr>
          </c:dPt>
          <c:dPt>
            <c:idx val="7"/>
            <c:spPr>
              <a:solidFill xmlns:a="http://schemas.openxmlformats.org/drawingml/2006/main">
                <a:srgbClr val="006411"/>
              </a:solidFill>
              <a:ln xmlns:a="http://schemas.openxmlformats.org/drawingml/2006/main" w="12700">
                <a:solidFill>
                  <a:srgbClr val="006411"/>
                </a:solidFill>
                <a:prstDash val="solid"/>
              </a:ln>
            </c:spPr>
          </c:dPt>
          <c:dPt>
            <c:idx val="8"/>
            <c:spPr>
              <a:solidFill xmlns:a="http://schemas.openxmlformats.org/drawingml/2006/main">
                <a:srgbClr val="006411"/>
              </a:solidFill>
              <a:ln xmlns:a="http://schemas.openxmlformats.org/drawingml/2006/main" w="12700">
                <a:solidFill>
                  <a:srgbClr val="006411"/>
                </a:solidFill>
                <a:prstDash val="solid"/>
              </a:ln>
            </c:spPr>
          </c:dPt>
          <c:cat>
            <c:strRef>
              <c:f>DG!$B$1:$J$1</c:f>
              <c:strCache>
                <c:ptCount val="9"/>
                <c:pt idx="0">
                  <c:v>Fusty/Muddy sediments</c:v>
                </c:pt>
                <c:pt idx="1">
                  <c:v>Musty/Humid/Earthy</c:v>
                </c:pt>
                <c:pt idx="2">
                  <c:v>Winey/vinegary/acid/sour</c:v>
                </c:pt>
                <c:pt idx="3">
                  <c:v>Frostbitten olives (wet wood)</c:v>
                </c:pt>
                <c:pt idx="4">
                  <c:v>Rancid</c:v>
                </c:pt>
                <c:pt idx="5">
                  <c:v>Other negative attribute</c:v>
                </c:pt>
                <c:pt idx="6">
                  <c:v>Fruity</c:v>
                </c:pt>
                <c:pt idx="7">
                  <c:v>Bitter</c:v>
                </c:pt>
                <c:pt idx="8">
                  <c:v>Pungent</c:v>
                </c:pt>
              </c:strCache>
            </c:strRef>
          </c:cat>
          <c:val>
            <c:numRef>
              <c:f>DG!$B$2:$J$2</c:f>
              <c:numCache>
                <c:formatCode>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2.85</c:v>
                </c:pt>
                <c:pt idx="7">
                  <c:v>2.55</c:v>
                </c:pt>
                <c:pt idx="8">
                  <c:v>3.1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ickLblSkip val="1"/>
        <c:tickMarkSkip val="1"/>
        <c:spPr>
          <a:ln xmlns:a="http://schemas.openxmlformats.org/drawingml/2006/main" w="3175">
            <a:solidFill>
              <a:srgbClr val="000000"/>
            </a:solidFill>
            <a:prstDash val="solid"/>
          </a:ln>
        </c:spPr>
        <c:txPr>
          <a:bodyPr xmlns:a="http://schemas.openxmlformats.org/drawingml/2006/main" rot="-2700000" vert="horz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0"/>
        </c:scaling>
        <c:delete val="0"/>
        <c:axPos val="l"/>
        <c:majorGridlines>
          <c:spPr>
            <a:ln xmlns:a="http://schemas.openxmlformats.org/drawingml/2006/main"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xmlns:a="http://schemas.openxmlformats.org/drawingml/2006/main" w="3175">
            <a:solidFill>
              <a:srgbClr val="000000"/>
            </a:solidFill>
            <a:prstDash val="solid"/>
          </a:ln>
        </c:spPr>
        <c:txPr>
          <a:bodyPr xmlns:a="http://schemas.openxmlformats.org/drawingml/2006/main" rot="0" vert="horz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c:spPr>
</c:chartSpace>
</file>

<file path=xl/drawings/charts/chart7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DG!$A$3</c:f>
              <c:strCache>
                <c:ptCount val="1"/>
                <c:pt idx="0">
                  <c:v>0,0</c:v>
                </c:pt>
              </c:strCache>
            </c:strRef>
          </c:tx>
          <c:spPr>
            <a:solidFill xmlns:a="http://schemas.openxmlformats.org/drawingml/2006/main">
              <a:srgbClr val="DD0806"/>
            </a:solidFill>
            <a:ln xmlns:a="http://schemas.openxmlformats.org/drawingml/2006/main" w="12700">
              <a:solidFill>
                <a:srgbClr val="DD0806"/>
              </a:solidFill>
              <a:prstDash val="solid"/>
            </a:ln>
          </c:spPr>
          <c:dPt>
            <c:idx val="6"/>
            <c:spPr>
              <a:solidFill xmlns:a="http://schemas.openxmlformats.org/drawingml/2006/main">
                <a:srgbClr val="0000FF"/>
              </a:solidFill>
              <a:ln xmlns:a="http://schemas.openxmlformats.org/drawingml/2006/main" w="12700">
                <a:solidFill>
                  <a:srgbClr val="0000FF"/>
                </a:solidFill>
                <a:prstDash val="solid"/>
              </a:ln>
            </c:spPr>
          </c:dPt>
          <c:dPt>
            <c:idx val="7"/>
            <c:spPr>
              <a:solidFill xmlns:a="http://schemas.openxmlformats.org/drawingml/2006/main">
                <a:srgbClr val="006411"/>
              </a:solidFill>
              <a:ln xmlns:a="http://schemas.openxmlformats.org/drawingml/2006/main" w="12700">
                <a:solidFill>
                  <a:srgbClr val="006411"/>
                </a:solidFill>
                <a:prstDash val="solid"/>
              </a:ln>
            </c:spPr>
          </c:dPt>
          <c:dPt>
            <c:idx val="8"/>
            <c:spPr>
              <a:solidFill xmlns:a="http://schemas.openxmlformats.org/drawingml/2006/main">
                <a:srgbClr val="006411"/>
              </a:solidFill>
              <a:ln xmlns:a="http://schemas.openxmlformats.org/drawingml/2006/main" w="12700">
                <a:solidFill>
                  <a:srgbClr val="006411"/>
                </a:solidFill>
                <a:prstDash val="solid"/>
              </a:ln>
            </c:spPr>
          </c:dPt>
          <c:cat>
            <c:strRef>
              <c:f>DG!$B$1:$J$1</c:f>
              <c:strCache>
                <c:ptCount val="9"/>
                <c:pt idx="0">
                  <c:v>Fusty/Muddy sediments</c:v>
                </c:pt>
                <c:pt idx="1">
                  <c:v>Musty/Humid/Earthy</c:v>
                </c:pt>
                <c:pt idx="2">
                  <c:v>Winey/vinegary/acid/sour</c:v>
                </c:pt>
                <c:pt idx="3">
                  <c:v>Frostbitten olives (wet wood)</c:v>
                </c:pt>
                <c:pt idx="4">
                  <c:v>Rancid</c:v>
                </c:pt>
                <c:pt idx="5">
                  <c:v>Other negative attribute</c:v>
                </c:pt>
                <c:pt idx="6">
                  <c:v>Fruity</c:v>
                </c:pt>
                <c:pt idx="7">
                  <c:v>Bitter</c:v>
                </c:pt>
                <c:pt idx="8">
                  <c:v>Pungent</c:v>
                </c:pt>
              </c:strCache>
            </c:strRef>
          </c:cat>
          <c:val>
            <c:numRef>
              <c:f>DG!$B$3:$J$3</c:f>
              <c:numCache>
                <c:formatCode>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ickLblSkip val="1"/>
        <c:tickMarkSkip val="1"/>
        <c:spPr>
          <a:ln xmlns:a="http://schemas.openxmlformats.org/drawingml/2006/main" w="3175">
            <a:solidFill>
              <a:srgbClr val="000000"/>
            </a:solidFill>
            <a:prstDash val="solid"/>
          </a:ln>
        </c:spPr>
        <c:txPr>
          <a:bodyPr xmlns:a="http://schemas.openxmlformats.org/drawingml/2006/main" rot="-2700000" vert="horz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0"/>
        </c:scaling>
        <c:delete val="0"/>
        <c:axPos val="l"/>
        <c:majorGridlines>
          <c:spPr>
            <a:ln xmlns:a="http://schemas.openxmlformats.org/drawingml/2006/main"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xmlns:a="http://schemas.openxmlformats.org/drawingml/2006/main" w="3175">
            <a:solidFill>
              <a:srgbClr val="000000"/>
            </a:solidFill>
            <a:prstDash val="solid"/>
          </a:ln>
        </c:spPr>
        <c:txPr>
          <a:bodyPr xmlns:a="http://schemas.openxmlformats.org/drawingml/2006/main" rot="0" vert="horz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c:spPr>
</c:chartSpace>
</file>

<file path=xl/drawings/charts/chart8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DG!$A$4</c:f>
              <c:strCache>
                <c:ptCount val="1"/>
                <c:pt idx="0">
                  <c:v>0,0</c:v>
                </c:pt>
              </c:strCache>
            </c:strRef>
          </c:tx>
          <c:spPr>
            <a:solidFill xmlns:a="http://schemas.openxmlformats.org/drawingml/2006/main">
              <a:srgbClr val="DD0806"/>
            </a:solidFill>
            <a:ln xmlns:a="http://schemas.openxmlformats.org/drawingml/2006/main" w="12700">
              <a:solidFill>
                <a:srgbClr val="DD0806"/>
              </a:solidFill>
              <a:prstDash val="solid"/>
            </a:ln>
          </c:spPr>
          <c:dPt>
            <c:idx val="6"/>
            <c:spPr>
              <a:solidFill xmlns:a="http://schemas.openxmlformats.org/drawingml/2006/main">
                <a:srgbClr val="0000FF"/>
              </a:solidFill>
              <a:ln xmlns:a="http://schemas.openxmlformats.org/drawingml/2006/main" w="12700">
                <a:solidFill>
                  <a:srgbClr val="0000FF"/>
                </a:solidFill>
                <a:prstDash val="solid"/>
              </a:ln>
            </c:spPr>
          </c:dPt>
          <c:dPt>
            <c:idx val="7"/>
            <c:spPr>
              <a:solidFill xmlns:a="http://schemas.openxmlformats.org/drawingml/2006/main">
                <a:srgbClr val="006411"/>
              </a:solidFill>
              <a:ln xmlns:a="http://schemas.openxmlformats.org/drawingml/2006/main" w="12700">
                <a:solidFill>
                  <a:srgbClr val="006411"/>
                </a:solidFill>
                <a:prstDash val="solid"/>
              </a:ln>
            </c:spPr>
          </c:dPt>
          <c:dPt>
            <c:idx val="8"/>
            <c:spPr>
              <a:solidFill xmlns:a="http://schemas.openxmlformats.org/drawingml/2006/main">
                <a:srgbClr val="006411"/>
              </a:solidFill>
              <a:ln xmlns:a="http://schemas.openxmlformats.org/drawingml/2006/main" w="12700">
                <a:solidFill>
                  <a:srgbClr val="006411"/>
                </a:solidFill>
                <a:prstDash val="solid"/>
              </a:ln>
            </c:spPr>
          </c:dPt>
          <c:cat>
            <c:strRef>
              <c:f>DG!$B$1:$J$1</c:f>
              <c:strCache>
                <c:ptCount val="9"/>
                <c:pt idx="0">
                  <c:v>Fusty/Muddy sediments</c:v>
                </c:pt>
                <c:pt idx="1">
                  <c:v>Musty/Humid/Earthy</c:v>
                </c:pt>
                <c:pt idx="2">
                  <c:v>Winey/vinegary/acid/sour</c:v>
                </c:pt>
                <c:pt idx="3">
                  <c:v>Frostbitten olives (wet wood)</c:v>
                </c:pt>
                <c:pt idx="4">
                  <c:v>Rancid</c:v>
                </c:pt>
                <c:pt idx="5">
                  <c:v>Other negative attribute</c:v>
                </c:pt>
                <c:pt idx="6">
                  <c:v>Fruity</c:v>
                </c:pt>
                <c:pt idx="7">
                  <c:v>Bitter</c:v>
                </c:pt>
                <c:pt idx="8">
                  <c:v>Pungent</c:v>
                </c:pt>
              </c:strCache>
            </c:strRef>
          </c:cat>
          <c:val>
            <c:numRef>
              <c:f>DG!$B$4:$J$4</c:f>
              <c:numCache>
                <c:formatCode>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ickLblSkip val="1"/>
        <c:tickMarkSkip val="1"/>
        <c:spPr>
          <a:ln xmlns:a="http://schemas.openxmlformats.org/drawingml/2006/main" w="3175">
            <a:solidFill>
              <a:srgbClr val="000000"/>
            </a:solidFill>
            <a:prstDash val="solid"/>
          </a:ln>
        </c:spPr>
        <c:txPr>
          <a:bodyPr xmlns:a="http://schemas.openxmlformats.org/drawingml/2006/main" rot="-2700000" vert="horz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0"/>
        </c:scaling>
        <c:delete val="0"/>
        <c:axPos val="l"/>
        <c:majorGridlines>
          <c:spPr>
            <a:ln xmlns:a="http://schemas.openxmlformats.org/drawingml/2006/main"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xmlns:a="http://schemas.openxmlformats.org/drawingml/2006/main" w="3175">
            <a:solidFill>
              <a:srgbClr val="000000"/>
            </a:solidFill>
            <a:prstDash val="solid"/>
          </a:ln>
        </c:spPr>
        <c:txPr>
          <a:bodyPr xmlns:a="http://schemas.openxmlformats.org/drawingml/2006/main" rot="0" vert="horz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c:spPr>
</c:chartSpace>
</file>

<file path=xl/drawings/charts/chart9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DG!$A$5</c:f>
              <c:strCache>
                <c:ptCount val="1"/>
                <c:pt idx="0">
                  <c:v>0,0</c:v>
                </c:pt>
              </c:strCache>
            </c:strRef>
          </c:tx>
          <c:spPr>
            <a:solidFill xmlns:a="http://schemas.openxmlformats.org/drawingml/2006/main">
              <a:srgbClr val="DD0806"/>
            </a:solidFill>
            <a:ln xmlns:a="http://schemas.openxmlformats.org/drawingml/2006/main" w="12700">
              <a:solidFill>
                <a:srgbClr val="DD0806"/>
              </a:solidFill>
              <a:prstDash val="solid"/>
            </a:ln>
          </c:spPr>
          <c:dPt>
            <c:idx val="6"/>
            <c:spPr>
              <a:solidFill xmlns:a="http://schemas.openxmlformats.org/drawingml/2006/main">
                <a:srgbClr val="0000FF"/>
              </a:solidFill>
              <a:ln xmlns:a="http://schemas.openxmlformats.org/drawingml/2006/main" w="12700">
                <a:solidFill>
                  <a:srgbClr val="0000FF"/>
                </a:solidFill>
                <a:prstDash val="solid"/>
              </a:ln>
            </c:spPr>
          </c:dPt>
          <c:dPt>
            <c:idx val="7"/>
            <c:spPr>
              <a:solidFill xmlns:a="http://schemas.openxmlformats.org/drawingml/2006/main">
                <a:srgbClr val="006411"/>
              </a:solidFill>
              <a:ln xmlns:a="http://schemas.openxmlformats.org/drawingml/2006/main" w="12700">
                <a:solidFill>
                  <a:srgbClr val="006411"/>
                </a:solidFill>
                <a:prstDash val="solid"/>
              </a:ln>
            </c:spPr>
          </c:dPt>
          <c:dPt>
            <c:idx val="8"/>
            <c:spPr>
              <a:solidFill xmlns:a="http://schemas.openxmlformats.org/drawingml/2006/main">
                <a:srgbClr val="006411"/>
              </a:solidFill>
              <a:ln xmlns:a="http://schemas.openxmlformats.org/drawingml/2006/main" w="12700">
                <a:solidFill>
                  <a:srgbClr val="006411"/>
                </a:solidFill>
                <a:prstDash val="solid"/>
              </a:ln>
            </c:spPr>
          </c:dPt>
          <c:cat>
            <c:strRef>
              <c:f>DG!$B$1:$J$1</c:f>
              <c:strCache>
                <c:ptCount val="9"/>
                <c:pt idx="0">
                  <c:v>Fusty/Muddy sediments</c:v>
                </c:pt>
                <c:pt idx="1">
                  <c:v>Musty/Humid/Earthy</c:v>
                </c:pt>
                <c:pt idx="2">
                  <c:v>Winey/vinegary/acid/sour</c:v>
                </c:pt>
                <c:pt idx="3">
                  <c:v>Frostbitten olives (wet wood)</c:v>
                </c:pt>
                <c:pt idx="4">
                  <c:v>Rancid</c:v>
                </c:pt>
                <c:pt idx="5">
                  <c:v>Other negative attribute</c:v>
                </c:pt>
                <c:pt idx="6">
                  <c:v>Fruity</c:v>
                </c:pt>
                <c:pt idx="7">
                  <c:v>Bitter</c:v>
                </c:pt>
                <c:pt idx="8">
                  <c:v>Pungent</c:v>
                </c:pt>
              </c:strCache>
            </c:strRef>
          </c:cat>
          <c:val>
            <c:numRef>
              <c:f>DG!$B$5:$J$5</c:f>
              <c:numCache>
                <c:formatCode>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ickLblSkip val="1"/>
        <c:tickMarkSkip val="1"/>
        <c:spPr>
          <a:ln xmlns:a="http://schemas.openxmlformats.org/drawingml/2006/main" w="3175">
            <a:solidFill>
              <a:srgbClr val="000000"/>
            </a:solidFill>
            <a:prstDash val="solid"/>
          </a:ln>
        </c:spPr>
        <c:txPr>
          <a:bodyPr xmlns:a="http://schemas.openxmlformats.org/drawingml/2006/main" rot="-2700000" vert="horz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0"/>
        </c:scaling>
        <c:delete val="0"/>
        <c:axPos val="l"/>
        <c:majorGridlines>
          <c:spPr>
            <a:ln xmlns:a="http://schemas.openxmlformats.org/drawingml/2006/main"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xmlns:a="http://schemas.openxmlformats.org/drawingml/2006/main" w="3175">
            <a:solidFill>
              <a:srgbClr val="000000"/>
            </a:solidFill>
            <a:prstDash val="solid"/>
          </a:ln>
        </c:spPr>
        <c:txPr>
          <a:bodyPr xmlns:a="http://schemas.openxmlformats.org/drawingml/2006/main" rot="0" vert="horz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c:spPr>
</c:chartSpace>
</file>

<file path=xl/drawings/charts/chart10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DG!$A$6</c:f>
              <c:strCache>
                <c:ptCount val="1"/>
                <c:pt idx="0">
                  <c:v>0,0</c:v>
                </c:pt>
              </c:strCache>
            </c:strRef>
          </c:tx>
          <c:spPr>
            <a:solidFill xmlns:a="http://schemas.openxmlformats.org/drawingml/2006/main">
              <a:srgbClr val="DD0806"/>
            </a:solidFill>
            <a:ln xmlns:a="http://schemas.openxmlformats.org/drawingml/2006/main" w="12700">
              <a:solidFill>
                <a:srgbClr val="DD0806"/>
              </a:solidFill>
              <a:prstDash val="solid"/>
            </a:ln>
          </c:spPr>
          <c:dPt>
            <c:idx val="6"/>
            <c:spPr>
              <a:solidFill xmlns:a="http://schemas.openxmlformats.org/drawingml/2006/main">
                <a:srgbClr val="0000FF"/>
              </a:solidFill>
              <a:ln xmlns:a="http://schemas.openxmlformats.org/drawingml/2006/main" w="12700">
                <a:solidFill>
                  <a:srgbClr val="0000FF"/>
                </a:solidFill>
                <a:prstDash val="solid"/>
              </a:ln>
            </c:spPr>
          </c:dPt>
          <c:dPt>
            <c:idx val="7"/>
            <c:spPr>
              <a:solidFill xmlns:a="http://schemas.openxmlformats.org/drawingml/2006/main">
                <a:srgbClr val="006411"/>
              </a:solidFill>
              <a:ln xmlns:a="http://schemas.openxmlformats.org/drawingml/2006/main" w="12700">
                <a:solidFill>
                  <a:srgbClr val="006411"/>
                </a:solidFill>
                <a:prstDash val="solid"/>
              </a:ln>
            </c:spPr>
          </c:dPt>
          <c:dPt>
            <c:idx val="8"/>
            <c:spPr>
              <a:solidFill xmlns:a="http://schemas.openxmlformats.org/drawingml/2006/main">
                <a:srgbClr val="006411"/>
              </a:solidFill>
              <a:ln xmlns:a="http://schemas.openxmlformats.org/drawingml/2006/main" w="12700">
                <a:solidFill>
                  <a:srgbClr val="006411"/>
                </a:solidFill>
                <a:prstDash val="solid"/>
              </a:ln>
            </c:spPr>
          </c:dPt>
          <c:cat>
            <c:strRef>
              <c:f>DG!$B$1:$J$1</c:f>
              <c:strCache>
                <c:ptCount val="9"/>
                <c:pt idx="0">
                  <c:v>Fusty/Muddy sediments</c:v>
                </c:pt>
                <c:pt idx="1">
                  <c:v>Musty/Humid/Earthy</c:v>
                </c:pt>
                <c:pt idx="2">
                  <c:v>Winey/vinegary/acid/sour</c:v>
                </c:pt>
                <c:pt idx="3">
                  <c:v>Frostbitten olives (wet wood)</c:v>
                </c:pt>
                <c:pt idx="4">
                  <c:v>Rancid</c:v>
                </c:pt>
                <c:pt idx="5">
                  <c:v>Other negative attribute</c:v>
                </c:pt>
                <c:pt idx="6">
                  <c:v>Fruity</c:v>
                </c:pt>
                <c:pt idx="7">
                  <c:v>Bitter</c:v>
                </c:pt>
                <c:pt idx="8">
                  <c:v>Pungent</c:v>
                </c:pt>
              </c:strCache>
            </c:strRef>
          </c:cat>
          <c:val>
            <c:numRef>
              <c:f>DG!$B$6:$J$6</c:f>
              <c:numCache>
                <c:formatCode>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ickLblSkip val="1"/>
        <c:tickMarkSkip val="1"/>
        <c:spPr>
          <a:ln xmlns:a="http://schemas.openxmlformats.org/drawingml/2006/main" w="3175">
            <a:solidFill>
              <a:srgbClr val="000000"/>
            </a:solidFill>
            <a:prstDash val="solid"/>
          </a:ln>
        </c:spPr>
        <c:txPr>
          <a:bodyPr xmlns:a="http://schemas.openxmlformats.org/drawingml/2006/main" rot="-2700000" vert="horz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0"/>
        </c:scaling>
        <c:delete val="0"/>
        <c:axPos val="l"/>
        <c:majorGridlines>
          <c:spPr>
            <a:ln xmlns:a="http://schemas.openxmlformats.org/drawingml/2006/main"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xmlns:a="http://schemas.openxmlformats.org/drawingml/2006/main" w="3175">
            <a:solidFill>
              <a:srgbClr val="000000"/>
            </a:solidFill>
            <a:prstDash val="solid"/>
          </a:ln>
        </c:spPr>
        <c:txPr>
          <a:bodyPr xmlns:a="http://schemas.openxmlformats.org/drawingml/2006/main" rot="0" vert="horz" anchorCtr="1"/>
          <a:lstStyle xmlns:a="http://schemas.openxmlformats.org/drawingml/2006/main"/>
          <a:p xmlns:a="http://schemas.openxmlformats.org/drawingml/2006/main">
            <a:pPr>
              <a:defRPr sz="800" b="0" i="0" u="non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6</xdr:col>
      <xdr:colOff>682298</xdr:colOff>
      <xdr:row>3</xdr:row>
      <xdr:rowOff>117432</xdr:rowOff>
    </xdr:to>
    <xdr:sp>
      <xdr:nvSpPr>
        <xdr:cNvPr id="1" name="Text Box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864600" cy="6985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>
          <a:noFill/>
        </a:ln>
      </xdr:spPr>
      <xdr:txBody>
        <a:bodyPr xmlns:a="http://schemas.openxmlformats.org/drawingml/2006/main" wrap="square" lIns="45720" tIns="27432" rIns="0" bIns="0" anchor="t"/>
        <a:lstStyle xmlns:a="http://schemas.openxmlformats.org/drawingml/2006/main"/>
        <a:p xmlns:a="http://schemas.openxmlformats.org/drawingml/2006/main">
          <a:pPr algn="l">
            <a:buNone/>
          </a:pPr>
          <a:r>
            <a:rPr sz="1400" b="1" i="0" u="none">
              <a:solidFill>
                <a:srgbClr val="000000"/>
              </a:solidFill>
              <a:latin typeface="Verdana"/>
              <a:ea typeface="Verdana"/>
              <a:cs typeface="Verdana"/>
            </a:rPr>
            <a:t>Sensory evaluation of virgin olive oil</a:t>
          </a:r>
          <a:endParaRPr/>
        </a:p>
        <a:p xmlns:a="http://schemas.openxmlformats.org/drawingml/2006/main">
          <a:pPr algn="l">
            <a:buNone/>
          </a:pPr>
          <a:r>
            <a:rPr sz="1400" b="1" i="0" u="none">
              <a:solidFill>
                <a:srgbClr val="000000"/>
              </a:solidFill>
              <a:latin typeface="Verdana"/>
              <a:ea typeface="Verdana"/>
              <a:cs typeface="Verdana"/>
            </a:rPr>
            <a:t>COI/T20/Doc. 15 Rev.10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5</xdr:col>
      <xdr:colOff>111672</xdr:colOff>
      <xdr:row>2</xdr:row>
      <xdr:rowOff>188660</xdr:rowOff>
    </xdr:to>
    <xdr:sp>
      <xdr:nvSpPr>
        <xdr:cNvPr id="1" name="Text 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753350" cy="6477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/>
        </a:ln>
      </xdr:spPr>
      <xdr:txBody>
        <a:bodyPr xmlns:a="http://schemas.openxmlformats.org/drawingml/2006/main" wrap="square" lIns="45720" tIns="27432" rIns="0" bIns="0" anchor="t"/>
        <a:lstStyle xmlns:a="http://schemas.openxmlformats.org/drawingml/2006/main"/>
        <a:p xmlns:a="http://schemas.openxmlformats.org/drawingml/2006/main">
          <a:pPr algn="l">
            <a:buNone/>
          </a:pPr>
          <a:r>
            <a:rPr sz="1400" b="1" i="0" u="none">
              <a:solidFill>
                <a:srgbClr val="000000"/>
              </a:solidFill>
              <a:latin typeface="Verdana"/>
              <a:ea typeface="Verdana"/>
              <a:cs typeface="Verdana"/>
            </a:rPr>
            <a:t>Sensory evaluation of virgin olive oil</a:t>
          </a:r>
          <a:endParaRPr/>
        </a:p>
        <a:p xmlns:a="http://schemas.openxmlformats.org/drawingml/2006/main">
          <a:pPr algn="l">
            <a:buNone/>
          </a:pPr>
          <a:r>
            <a:rPr sz="1400" b="1" i="0" u="none">
              <a:solidFill>
                <a:srgbClr val="000000"/>
              </a:solidFill>
              <a:latin typeface="Verdana"/>
              <a:ea typeface="Verdana"/>
              <a:cs typeface="Verdana"/>
            </a:rPr>
            <a:t>COI/T20/Doc. 15 Rev.10</a:t>
          </a:r>
          <a:endParaRPr/>
        </a:p>
      </xdr:txBody>
    </xdr:sp>
    <xdr:clientData/>
  </xdr:twoCellAnchor>
  <xdr:twoCellAnchor editAs="oneCell">
    <xdr:from>
      <xdr:col>13</xdr:col>
      <xdr:colOff>3175</xdr:colOff>
      <xdr:row>3</xdr:row>
      <xdr:rowOff>76200</xdr:rowOff>
    </xdr:from>
    <xdr:to>
      <xdr:col>15</xdr:col>
      <xdr:colOff>448442</xdr:colOff>
      <xdr:row>11</xdr:row>
      <xdr:rowOff>6350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74bd64c7d94b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15</xdr:col>
      <xdr:colOff>309052</xdr:colOff>
      <xdr:row>5</xdr:row>
      <xdr:rowOff>241300</xdr:rowOff>
    </xdr:from>
    <xdr:to>
      <xdr:col>15</xdr:col>
      <xdr:colOff>2493005</xdr:colOff>
      <xdr:row>9</xdr:row>
      <xdr:rowOff>274528</xdr:rowOff>
    </xdr:to>
    <xdr:pic>
      <xdr:nvPicPr>
        <xdr:cNvPr id="3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fdc06ae31d4f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9525</xdr:colOff>
      <xdr:row>0</xdr:row>
      <xdr:rowOff>0</xdr:rowOff>
    </xdr:from>
    <xdr:to>
      <xdr:col>6</xdr:col>
      <xdr:colOff>876300</xdr:colOff>
      <xdr:row>18</xdr:row>
      <xdr:rowOff>9525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aab5be8bef496f"/>
        </a:graphicData>
      </a:graphic>
    </xdr:graphicFrame>
    <xdr:clientData/>
  </xdr:twoCellAnchor>
  <xdr:twoCellAnchor>
    <xdr:from>
      <xdr:col>6</xdr:col>
      <xdr:colOff>876300</xdr:colOff>
      <xdr:row>0</xdr:row>
      <xdr:rowOff>0</xdr:rowOff>
    </xdr:from>
    <xdr:to>
      <xdr:col>14</xdr:col>
      <xdr:colOff>114300</xdr:colOff>
      <xdr:row>18</xdr:row>
      <xdr:rowOff>9525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9b9649119547db"/>
        </a:graphicData>
      </a:graphic>
    </xdr:graphicFrame>
    <xdr:clientData/>
  </xdr:twoCellAnchor>
  <xdr:twoCellAnchor>
    <xdr:from>
      <xdr:col>0</xdr:col>
      <xdr:colOff>9525</xdr:colOff>
      <xdr:row>18</xdr:row>
      <xdr:rowOff>9525</xdr:rowOff>
    </xdr:from>
    <xdr:to>
      <xdr:col>7</xdr:col>
      <xdr:colOff>0</xdr:colOff>
      <xdr:row>37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a56501c337487b"/>
        </a:graphicData>
      </a:graphic>
    </xdr:graphicFrame>
    <xdr:clientData/>
  </xdr:twoCellAnchor>
  <xdr:twoCellAnchor>
    <xdr:from>
      <xdr:col>6</xdr:col>
      <xdr:colOff>876300</xdr:colOff>
      <xdr:row>18</xdr:row>
      <xdr:rowOff>9525</xdr:rowOff>
    </xdr:from>
    <xdr:to>
      <xdr:col>14</xdr:col>
      <xdr:colOff>114300</xdr:colOff>
      <xdr:row>37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eb4899cc5d4313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6</xdr:col>
      <xdr:colOff>876300</xdr:colOff>
      <xdr:row>59</xdr:row>
      <xdr:rowOff>28575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092e533b73450b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38100</xdr:colOff>
      <xdr:row>0</xdr:row>
      <xdr:rowOff>9525</xdr:rowOff>
    </xdr:from>
    <xdr:to>
      <xdr:col>7</xdr:col>
      <xdr:colOff>638175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025b93ebe54068"/>
        </a:graphicData>
      </a:graphic>
    </xdr:graphicFrame>
    <xdr:clientData/>
  </xdr:twoCellAnchor>
  <xdr:twoCellAnchor>
    <xdr:from>
      <xdr:col>0</xdr:col>
      <xdr:colOff>38100</xdr:colOff>
      <xdr:row>21</xdr:row>
      <xdr:rowOff>0</xdr:rowOff>
    </xdr:from>
    <xdr:to>
      <xdr:col>7</xdr:col>
      <xdr:colOff>638175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25dc086504467c"/>
        </a:graphicData>
      </a:graphic>
    </xdr:graphicFrame>
    <xdr:clientData/>
  </xdr:twoCellAnchor>
  <xdr:twoCellAnchor>
    <xdr:from>
      <xdr:col>7</xdr:col>
      <xdr:colOff>638175</xdr:colOff>
      <xdr:row>0</xdr:row>
      <xdr:rowOff>9525</xdr:rowOff>
    </xdr:from>
    <xdr:to>
      <xdr:col>15</xdr:col>
      <xdr:colOff>352425</xdr:colOff>
      <xdr:row>21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f5845fa96d4f73"/>
        </a:graphicData>
      </a:graphic>
    </xdr:graphicFrame>
    <xdr:clientData/>
  </xdr:twoCellAnchor>
  <xdr:twoCellAnchor>
    <xdr:from>
      <xdr:col>7</xdr:col>
      <xdr:colOff>638175</xdr:colOff>
      <xdr:row>21</xdr:row>
      <xdr:rowOff>0</xdr:rowOff>
    </xdr:from>
    <xdr:to>
      <xdr:col>15</xdr:col>
      <xdr:colOff>352425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24d56dcedc4c5c"/>
        </a:graphicData>
      </a:graphic>
    </xdr:graphicFrame>
    <xdr:clientData/>
  </xdr:twoCellAnchor>
  <xdr:twoCellAnchor>
    <xdr:from>
      <xdr:col>15</xdr:col>
      <xdr:colOff>352425</xdr:colOff>
      <xdr:row>0</xdr:row>
      <xdr:rowOff>9525</xdr:rowOff>
    </xdr:from>
    <xdr:to>
      <xdr:col>23</xdr:col>
      <xdr:colOff>114300</xdr:colOff>
      <xdr:row>21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10111439384af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76f8ffd971242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f1f9d36efdb48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dd0a684fb9e24a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c7c66ab56dba47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4609375" defaultRowHeight="15"/>
  <x:cols>
    <x:col min="1" max="1" width="17.80078125" style="28" customWidth="1"/>
    <x:col min="2" max="2" width="9.3046875" style="29" customWidth="1"/>
    <x:col min="3" max="3" width="15.1015625" style="29" customWidth="1"/>
    <x:col min="4" max="4" width="10.11328125" style="29" customWidth="1"/>
    <x:col min="5" max="5" width="28.453125" style="30" customWidth="1"/>
    <x:col min="6" max="6" width="24.54296875" style="30" customWidth="1"/>
    <x:col min="7" max="7" width="28.85546875" style="30" customWidth="1"/>
    <x:col min="8" max="8" width="35.05859375" style="30" customWidth="1"/>
    <x:col min="9" max="9" width="11.32421875" style="30" customWidth="1"/>
    <x:col min="10" max="10" width="31.28515625" style="30" customWidth="1"/>
    <x:col min="11" max="12" width="10.11328125" style="30" customWidth="1"/>
    <x:col min="13" max="13" width="12.67578125" style="30" customWidth="1"/>
    <x:col min="14" max="14" width="4.71875" style="30" customWidth="1"/>
    <x:col min="15" max="15" width="24.13671875" style="30" customWidth="1"/>
    <x:col min="16" max="16" width="23.8671875" style="30" customWidth="1"/>
    <x:col min="17" max="17" width="26.4296875" style="30" hidden="1" customWidth="1"/>
    <x:col min="18" max="18" width="20.49609375" style="30" customWidth="1"/>
    <x:col min="19" max="16384" width="11.4609375" style="30" customWidth="0"/>
  </x:cols>
  <x:sheetData>
    <x:row r="4" ht="15.75"/>
    <x:row r="5" ht="27.75" customHeight="1">
      <x:c r="B5" s="109"/>
      <x:c r="C5" s="109"/>
      <x:c r="D5" s="110"/>
      <x:c r="E5" s="111"/>
      <x:c r="F5" s="111"/>
      <x:c r="G5" s="111"/>
      <x:c r="H5" s="111"/>
      <x:c r="I5" s="111"/>
      <x:c r="J5" s="111"/>
      <x:c r="K5" s="111"/>
      <x:c r="L5" s="111"/>
      <x:c r="M5" s="130"/>
      <x:c r="N5" s="33"/>
      <x:c r="O5" s="34"/>
      <x:c r="P5" s="31"/>
      <x:c r="Q5" s="31"/>
      <x:c r="R5" s="32" t="s">
        <x:v>0</x:v>
      </x:c>
    </x:row>
    <x:row r="6" ht="27.75" customHeight="1">
      <x:c r="A6" s="291" t="str">
        <x:v>Campione 1</x:v>
      </x:c>
      <x:c r="B6" s="292" t="s">
        <x:v>1</x:v>
      </x:c>
      <x:c r="C6" s="293" t="str">
        <x:v>Campione</x:v>
      </x:c>
      <x:c r="D6" s="294" t="str">
        <x:v>Assaggiatore</x:v>
      </x:c>
      <x:c r="E6" s="294" t="str">
        <x:v>Riscaldo / Morchia</x:v>
      </x:c>
      <x:c r="F6" s="294" t="str">
        <x:v>Muffa / Umidità / Terra</x:v>
      </x:c>
      <x:c r="G6" s="294" t="str">
        <x:v>Avvinato / Inacetito / Acido / Agro</x:v>
      </x:c>
      <x:c r="H6" s="294" t="str">
        <x:v>Olive gelate (legno umido)</x:v>
      </x:c>
      <x:c r="I6" s="294" t="str">
        <x:v>Rancido</x:v>
      </x:c>
      <x:c r="J6" s="294" t="str">
        <x:v>Altro attributo negativo</x:v>
      </x:c>
      <x:c r="K6" s="294" t="str">
        <x:v>Fruttato</x:v>
      </x:c>
      <x:c r="L6" s="294" t="str">
        <x:v>Amaro</x:v>
      </x:c>
      <x:c r="M6" s="295" t="str">
        <x:v>Piccante</x:v>
      </x:c>
      <x:c r="N6" s="296"/>
      <x:c r="O6" s="297" t="str">
        <x:v>Tipo di fruttato</x:v>
      </x:c>
      <x:c r="P6" s="298" t="str">
        <x:v>Numero di assaggiatori</x:v>
      </x:c>
      <x:c r="Q6" s="299" t="s">
        <x:v>2</x:v>
      </x:c>
      <x:c r="R6" s="300" t="s">
        <x:v>3</x:v>
      </x:c>
    </x:row>
    <x:row r="7" ht="27.75" customHeight="1">
      <x:c r="A7" s="54" t="str">
        <x:v>PRINCIPALE</x:v>
      </x:c>
      <x:c r="B7" s="124"/>
      <x:c r="C7" s="132"/>
      <x:c r="D7" s="113" t="s">
        <x:v>4</x:v>
      </x:c>
      <x:c r="E7" s="137">
        <x:v>0</x:v>
      </x:c>
      <x:c r="F7" s="137">
        <x:v>0</x:v>
      </x:c>
      <x:c r="G7" s="137">
        <x:v>1.7</x:v>
      </x:c>
      <x:c r="H7" s="137">
        <x:v>0</x:v>
      </x:c>
      <x:c r="I7" s="137">
        <x:v>5</x:v>
      </x:c>
      <x:c r="J7" s="137">
        <x:v>0</x:v>
      </x:c>
      <x:c r="K7" s="137">
        <x:v>4.0999999999999996</x:v>
      </x:c>
      <x:c r="L7" s="137">
        <x:v>2.4</x:v>
      </x:c>
      <x:c r="M7" s="138">
        <x:v>3.6</x:v>
      </x:c>
      <x:c r="O7" s="40" t="str">
        <x:v>Fruttato verde</x:v>
      </x:c>
      <x:c r="P7" s="41">
        <x:v>6</x:v>
      </x:c>
      <x:c r="Q7" s="30" t="n">
        <x:f>COUNT(E$7:E$26)/2</x:f>
        <x:v>4</x:v>
      </x:c>
      <x:c r="R7" s="42" t="str">
        <x:f>IF(CHITEST(P7:Q7,P8:Q8)&lt;=0.05,"s","ns")</x:f>
        <x:v>s</x:v>
      </x:c>
    </x:row>
    <x:row r="8" ht="27.75" customHeight="1">
      <x:c r="B8" s="125"/>
      <x:c r="C8" s="116"/>
      <x:c r="D8" s="115" t="s">
        <x:v>5</x:v>
      </x:c>
      <x:c r="E8" s="139">
        <x:v>0</x:v>
      </x:c>
      <x:c r="F8" s="140">
        <x:v>0</x:v>
      </x:c>
      <x:c r="G8" s="140">
        <x:v>0</x:v>
      </x:c>
      <x:c r="H8" s="140">
        <x:v>0</x:v>
      </x:c>
      <x:c r="I8" s="140">
        <x:v>5</x:v>
      </x:c>
      <x:c r="J8" s="140">
        <x:v>0</x:v>
      </x:c>
      <x:c r="K8" s="140">
        <x:v>3</x:v>
      </x:c>
      <x:c r="L8" s="140">
        <x:v>3</x:v>
      </x:c>
      <x:c r="M8" s="141">
        <x:v>3</x:v>
      </x:c>
      <x:c r="O8" s="43" t="str">
        <x:v>Fruttato maturo</x:v>
      </x:c>
      <x:c r="P8" s="41">
        <x:v>2</x:v>
      </x:c>
      <x:c r="Q8" s="30" t="n">
        <x:f>COUNT(E$7:E$26)/2</x:f>
        <x:v>4</x:v>
      </x:c>
      <x:c r="R8" s="42" t="str">
        <x:f>IF(CHITEST(P7:Q7,P8:Q8)&lt;0.05,"s","ns")</x:f>
        <x:v>s</x:v>
      </x:c>
    </x:row>
    <x:row r="9" ht="27.75" customHeight="1">
      <x:c r="B9" s="126"/>
      <x:c r="C9" s="116"/>
      <x:c r="D9" s="115" t="s">
        <x:v>6</x:v>
      </x:c>
      <x:c r="E9" s="139">
        <x:v>0</x:v>
      </x:c>
      <x:c r="F9" s="140">
        <x:v>0</x:v>
      </x:c>
      <x:c r="G9" s="140">
        <x:v>0</x:v>
      </x:c>
      <x:c r="H9" s="140">
        <x:v>0</x:v>
      </x:c>
      <x:c r="I9" s="140">
        <x:v>5</x:v>
      </x:c>
      <x:c r="J9" s="140">
        <x:v>0</x:v>
      </x:c>
      <x:c r="K9" s="140">
        <x:v>2.2999999999999998</x:v>
      </x:c>
      <x:c r="L9" s="140">
        <x:v>2.7</x:v>
      </x:c>
      <x:c r="M9" s="141">
        <x:v>2.1</x:v>
      </x:c>
      <x:c r="O9" s="44" t="str">
        <x:v>Controllo</x:v>
      </x:c>
      <x:c r="P9" s="45" t="str">
        <x:f>IF((SUM(P7:P8)&gt;COUNT(E7:E26)),"Errore inserimento dato","OK!")</x:f>
        <x:v>OK!</x:v>
      </x:c>
      <x:c r="Q9" s="46"/>
      <x:c r="R9" s="47"/>
    </x:row>
    <x:row r="10" ht="27.75" customHeight="1">
      <x:c r="B10" s="126"/>
      <x:c r="C10" s="116"/>
      <x:c r="D10" s="115" t="s">
        <x:v>7</x:v>
      </x:c>
      <x:c r="E10" s="140">
        <x:v>0</x:v>
      </x:c>
      <x:c r="F10" s="140">
        <x:v>0</x:v>
      </x:c>
      <x:c r="G10" s="140">
        <x:v>0</x:v>
      </x:c>
      <x:c r="H10" s="140">
        <x:v>0</x:v>
      </x:c>
      <x:c r="I10" s="140">
        <x:v>6</x:v>
      </x:c>
      <x:c r="J10" s="140">
        <x:v>0</x:v>
      </x:c>
      <x:c r="K10" s="140">
        <x:v>3</x:v>
      </x:c>
      <x:c r="L10" s="140">
        <x:v>1.8</x:v>
      </x:c>
      <x:c r="M10" s="141">
        <x:v>3.8</x:v>
      </x:c>
      <x:c r="O10" s="30" t="str">
        <x:v>Significatività 5%</x:v>
      </x:c>
    </x:row>
    <x:row r="11" ht="27.75" customHeight="1">
      <x:c r="B11" s="126"/>
      <x:c r="C11" s="116"/>
      <x:c r="D11" s="115" t="s">
        <x:v>8</x:v>
      </x:c>
      <x:c r="E11" s="140">
        <x:v>0</x:v>
      </x:c>
      <x:c r="F11" s="140">
        <x:v>0</x:v>
      </x:c>
      <x:c r="G11" s="140">
        <x:v>0</x:v>
      </x:c>
      <x:c r="H11" s="140">
        <x:v>0</x:v>
      </x:c>
      <x:c r="I11" s="140">
        <x:v>5</x:v>
      </x:c>
      <x:c r="J11" s="140">
        <x:v>0</x:v>
      </x:c>
      <x:c r="K11" s="140">
        <x:v>2.7</x:v>
      </x:c>
      <x:c r="L11" s="140">
        <x:v>2.8</x:v>
      </x:c>
      <x:c r="M11" s="141">
        <x:v>3.2</x:v>
      </x:c>
    </x:row>
    <x:row r="12" ht="27.75" customHeight="1">
      <x:c r="B12" s="126"/>
      <x:c r="C12" s="116"/>
      <x:c r="D12" s="115" t="s">
        <x:v>9</x:v>
      </x:c>
      <x:c r="E12" s="140">
        <x:v>0</x:v>
      </x:c>
      <x:c r="F12" s="140">
        <x:v>0</x:v>
      </x:c>
      <x:c r="G12" s="140">
        <x:v>0</x:v>
      </x:c>
      <x:c r="H12" s="140">
        <x:v>0</x:v>
      </x:c>
      <x:c r="I12" s="140">
        <x:v>7</x:v>
      </x:c>
      <x:c r="J12" s="140">
        <x:v>0</x:v>
      </x:c>
      <x:c r="K12" s="140">
        <x:v>3</x:v>
      </x:c>
      <x:c r="L12" s="140">
        <x:v>4.5</x:v>
      </x:c>
      <x:c r="M12" s="141">
        <x:v>4.5</x:v>
      </x:c>
      <x:c r="P12" s="53"/>
    </x:row>
    <x:row r="13" ht="27.75" customHeight="1">
      <x:c r="B13" s="126"/>
      <x:c r="C13" s="116"/>
      <x:c r="D13" s="115" t="s">
        <x:v>10</x:v>
      </x:c>
      <x:c r="E13" s="140">
        <x:v>0</x:v>
      </x:c>
      <x:c r="F13" s="140">
        <x:v>0</x:v>
      </x:c>
      <x:c r="G13" s="140">
        <x:v>0</x:v>
      </x:c>
      <x:c r="H13" s="140">
        <x:v>0</x:v>
      </x:c>
      <x:c r="I13" s="140">
        <x:v>5</x:v>
      </x:c>
      <x:c r="J13" s="140">
        <x:v>0</x:v>
      </x:c>
      <x:c r="K13" s="140">
        <x:v>0</x:v>
      </x:c>
      <x:c r="L13" s="140">
        <x:v>0</x:v>
      </x:c>
      <x:c r="M13" s="141">
        <x:v>0</x:v>
      </x:c>
      <x:c r="P13" s="53"/>
    </x:row>
    <x:row r="14" ht="27.75" customHeight="1">
      <x:c r="B14" s="126"/>
      <x:c r="C14" s="116"/>
      <x:c r="D14" s="115" t="s">
        <x:v>11</x:v>
      </x:c>
      <x:c r="E14" s="140">
        <x:v>0</x:v>
      </x:c>
      <x:c r="F14" s="140">
        <x:v>0</x:v>
      </x:c>
      <x:c r="G14" s="140">
        <x:v>0</x:v>
      </x:c>
      <x:c r="H14" s="140">
        <x:v>0</x:v>
      </x:c>
      <x:c r="I14" s="140">
        <x:v>7</x:v>
      </x:c>
      <x:c r="J14" s="140">
        <x:v>0.7</x:v>
      </x:c>
      <x:c r="K14" s="140">
        <x:v>0</x:v>
      </x:c>
      <x:c r="L14" s="140">
        <x:v>0</x:v>
      </x:c>
      <x:c r="M14" s="141">
        <x:v>0</x:v>
      </x:c>
      <x:c r="P14" s="53"/>
    </x:row>
    <x:row r="15" ht="27.75" customHeight="1">
      <x:c r="B15" s="127"/>
      <x:c r="C15" s="117"/>
      <x:c r="D15" s="118" t="s">
        <x:v>12</x:v>
      </x:c>
      <x:c r="E15" s="142"/>
      <x:c r="F15" s="142"/>
      <x:c r="G15" s="142"/>
      <x:c r="H15" s="142"/>
      <x:c r="I15" s="142"/>
      <x:c r="J15" s="142"/>
      <x:c r="K15" s="142"/>
      <x:c r="L15" s="142"/>
      <x:c r="M15" s="143"/>
      <x:c r="P15" s="53"/>
    </x:row>
    <x:row r="16" ht="27.75" customHeight="1">
      <x:c r="B16" s="127"/>
      <x:c r="C16" s="117"/>
      <x:c r="D16" s="118" t="s">
        <x:v>13</x:v>
      </x:c>
      <x:c r="E16" s="142"/>
      <x:c r="F16" s="142"/>
      <x:c r="G16" s="142"/>
      <x:c r="H16" s="142"/>
      <x:c r="I16" s="142"/>
      <x:c r="J16" s="142"/>
      <x:c r="K16" s="142"/>
      <x:c r="L16" s="142"/>
      <x:c r="M16" s="143"/>
      <x:c r="P16" s="53"/>
    </x:row>
    <x:row r="17" ht="27.75" customHeight="1">
      <x:c r="B17" s="127"/>
      <x:c r="C17" s="117"/>
      <x:c r="D17" s="118" t="s">
        <x:v>14</x:v>
      </x:c>
      <x:c r="E17" s="142"/>
      <x:c r="F17" s="142"/>
      <x:c r="G17" s="142"/>
      <x:c r="H17" s="142"/>
      <x:c r="I17" s="142"/>
      <x:c r="J17" s="142"/>
      <x:c r="K17" s="142"/>
      <x:c r="L17" s="142"/>
      <x:c r="M17" s="143"/>
      <x:c r="P17" s="53"/>
    </x:row>
    <x:row r="18" ht="27.75" customHeight="1">
      <x:c r="B18" s="127"/>
      <x:c r="C18" s="117"/>
      <x:c r="D18" s="118" t="s">
        <x:v>15</x:v>
      </x:c>
      <x:c r="E18" s="142"/>
      <x:c r="F18" s="142"/>
      <x:c r="G18" s="142"/>
      <x:c r="H18" s="142"/>
      <x:c r="I18" s="142"/>
      <x:c r="J18" s="142"/>
      <x:c r="K18" s="142"/>
      <x:c r="L18" s="142"/>
      <x:c r="M18" s="143"/>
      <x:c r="P18" s="53"/>
    </x:row>
    <x:row r="19" ht="27.75" customHeight="1">
      <x:c r="B19" s="127"/>
      <x:c r="C19" s="117"/>
      <x:c r="D19" s="118" t="s">
        <x:v>16</x:v>
      </x:c>
      <x:c r="E19" s="142"/>
      <x:c r="F19" s="142"/>
      <x:c r="G19" s="142"/>
      <x:c r="H19" s="142"/>
      <x:c r="I19" s="142"/>
      <x:c r="J19" s="142"/>
      <x:c r="K19" s="142"/>
      <x:c r="L19" s="142"/>
      <x:c r="M19" s="143"/>
      <x:c r="P19" s="53"/>
    </x:row>
    <x:row r="20" ht="27.75" customHeight="1">
      <x:c r="B20" s="127"/>
      <x:c r="C20" s="117"/>
      <x:c r="D20" s="118" t="s">
        <x:v>17</x:v>
      </x:c>
      <x:c r="E20" s="142"/>
      <x:c r="F20" s="142"/>
      <x:c r="G20" s="142"/>
      <x:c r="H20" s="142"/>
      <x:c r="I20" s="142"/>
      <x:c r="J20" s="142"/>
      <x:c r="K20" s="142"/>
      <x:c r="L20" s="142"/>
      <x:c r="M20" s="143"/>
      <x:c r="P20" s="53"/>
    </x:row>
    <x:row r="21" ht="27.75" customHeight="1">
      <x:c r="B21" s="127"/>
      <x:c r="C21" s="117"/>
      <x:c r="D21" s="118" t="s">
        <x:v>18</x:v>
      </x:c>
      <x:c r="E21" s="142"/>
      <x:c r="F21" s="142"/>
      <x:c r="G21" s="142"/>
      <x:c r="H21" s="142"/>
      <x:c r="I21" s="142"/>
      <x:c r="J21" s="142"/>
      <x:c r="K21" s="142"/>
      <x:c r="L21" s="142"/>
      <x:c r="M21" s="143"/>
      <x:c r="P21" s="53"/>
    </x:row>
    <x:row r="22" ht="27.75" customHeight="1">
      <x:c r="B22" s="127"/>
      <x:c r="C22" s="117"/>
      <x:c r="D22" s="118" t="s">
        <x:v>19</x:v>
      </x:c>
      <x:c r="E22" s="142"/>
      <x:c r="F22" s="142"/>
      <x:c r="G22" s="142"/>
      <x:c r="H22" s="142"/>
      <x:c r="I22" s="142"/>
      <x:c r="J22" s="142"/>
      <x:c r="K22" s="142"/>
      <x:c r="L22" s="142"/>
      <x:c r="M22" s="143"/>
    </x:row>
    <x:row r="23" ht="27.75" customHeight="1">
      <x:c r="B23" s="127"/>
      <x:c r="C23" s="117"/>
      <x:c r="D23" s="118" t="s">
        <x:v>20</x:v>
      </x:c>
      <x:c r="E23" s="142"/>
      <x:c r="F23" s="142"/>
      <x:c r="G23" s="142"/>
      <x:c r="H23" s="142"/>
      <x:c r="I23" s="142"/>
      <x:c r="J23" s="142"/>
      <x:c r="K23" s="142"/>
      <x:c r="L23" s="142"/>
      <x:c r="M23" s="143"/>
    </x:row>
    <x:row r="24" ht="27.75" customHeight="1">
      <x:c r="B24" s="127"/>
      <x:c r="C24" s="117"/>
      <x:c r="D24" s="118" t="s">
        <x:v>21</x:v>
      </x:c>
      <x:c r="E24" s="142"/>
      <x:c r="F24" s="142"/>
      <x:c r="G24" s="142"/>
      <x:c r="H24" s="142"/>
      <x:c r="I24" s="142"/>
      <x:c r="J24" s="142"/>
      <x:c r="K24" s="142"/>
      <x:c r="L24" s="142"/>
      <x:c r="M24" s="143"/>
    </x:row>
    <x:row r="25" ht="27.75" customHeight="1">
      <x:c r="B25" s="127"/>
      <x:c r="C25" s="117"/>
      <x:c r="D25" s="118" t="s">
        <x:v>22</x:v>
      </x:c>
      <x:c r="E25" s="142"/>
      <x:c r="F25" s="142"/>
      <x:c r="G25" s="142"/>
      <x:c r="H25" s="142"/>
      <x:c r="I25" s="142"/>
      <x:c r="J25" s="142"/>
      <x:c r="K25" s="142"/>
      <x:c r="L25" s="142"/>
      <x:c r="M25" s="143"/>
    </x:row>
    <x:row r="26" ht="27.75" customHeight="1">
      <x:c r="B26" s="128"/>
      <x:c r="C26" s="119"/>
      <x:c r="D26" s="120" t="s">
        <x:v>23</x:v>
      </x:c>
      <x:c r="E26" s="144"/>
      <x:c r="F26" s="144"/>
      <x:c r="G26" s="144"/>
      <x:c r="H26" s="144"/>
      <x:c r="I26" s="144"/>
      <x:c r="J26" s="144"/>
      <x:c r="K26" s="144"/>
      <x:c r="L26" s="144"/>
      <x:c r="M26" s="145"/>
    </x:row>
    <x:row r="27" ht="27.75" customHeight="1">
      <x:c r="B27" s="121"/>
      <x:c r="C27" s="121"/>
      <x:c r="D27" s="49"/>
      <x:c r="E27" s="50"/>
      <x:c r="F27" s="50"/>
      <x:c r="G27" s="50"/>
      <x:c r="H27" s="50"/>
      <x:c r="I27" s="50"/>
      <x:c r="J27" s="50"/>
      <x:c r="K27" s="50"/>
      <x:c r="L27" s="50"/>
      <x:c r="M27" s="133"/>
    </x:row>
    <x:row r="28" ht="27.75" customHeight="1">
      <x:c r="B28" s="121"/>
      <x:c r="C28" s="121"/>
      <x:c r="D28" s="48"/>
      <x:c r="E28" s="51"/>
      <x:c r="F28" s="51"/>
      <x:c r="G28" s="51"/>
      <x:c r="H28" s="51"/>
      <x:c r="I28" s="51"/>
      <x:c r="J28" s="51"/>
      <x:c r="K28" s="51"/>
      <x:c r="L28" s="51"/>
      <x:c r="M28" s="134"/>
      <x:c r="O28" s="34"/>
      <x:c r="P28" s="31"/>
      <x:c r="Q28" s="31"/>
      <x:c r="R28" s="32" t="s">
        <x:v>0</x:v>
      </x:c>
    </x:row>
    <x:row r="29" ht="27.75" customHeight="1">
      <x:c r="A29" s="28" t="str">
        <x:v>Campione 2</x:v>
      </x:c>
      <x:c r="B29" s="123" t="str">
        <x:f>B6</x:f>
        <x:v>Panel</x:v>
      </x:c>
      <x:c r="C29" s="112" t="str">
        <x:f>C6</x:f>
        <x:v>Campione</x:v>
      </x:c>
      <x:c r="D29" s="108" t="str">
        <x:f>D6</x:f>
        <x:v>Assaggiatore</x:v>
      </x:c>
      <x:c r="E29" s="108" t="str">
        <x:f t="shared" ref="E29:M29" si="0">E6</x:f>
        <x:v>Riscaldo / Morchia</x:v>
      </x:c>
      <x:c r="F29" s="108" t="str">
        <x:f t="shared" si="0"/>
        <x:v>Muffa / Umidità / Terra</x:v>
      </x:c>
      <x:c r="G29" s="108" t="str">
        <x:f t="shared" si="0"/>
        <x:v>Avvinato / Inacetito / Acido / Agro</x:v>
      </x:c>
      <x:c r="H29" s="108" t="str">
        <x:f t="shared" si="0"/>
        <x:v>Olive gelate (legno umido)</x:v>
      </x:c>
      <x:c r="I29" s="108" t="str">
        <x:f t="shared" si="0"/>
        <x:v>Rancido</x:v>
      </x:c>
      <x:c r="J29" s="108" t="str">
        <x:f t="shared" si="0"/>
        <x:v>Altro attributo negativo</x:v>
      </x:c>
      <x:c r="K29" s="108" t="str">
        <x:f t="shared" si="0"/>
        <x:v>Fruttato</x:v>
      </x:c>
      <x:c r="L29" s="108" t="str">
        <x:f t="shared" si="0"/>
        <x:v>Amaro</x:v>
      </x:c>
      <x:c r="M29" s="131" t="str">
        <x:f t="shared" si="0"/>
        <x:v>Piccante</x:v>
      </x:c>
      <x:c r="N29" s="35"/>
      <x:c r="O29" s="36" t="str">
        <x:v>Tipo di fruttato</x:v>
      </x:c>
      <x:c r="P29" s="37" t="str">
        <x:v>Numero di assaggiatori</x:v>
      </x:c>
      <x:c r="Q29" s="38" t="s">
        <x:v>2</x:v>
      </x:c>
      <x:c r="R29" s="39" t="s">
        <x:v>3</x:v>
      </x:c>
    </x:row>
    <x:row r="30" ht="27.75" customHeight="1">
      <x:c r="B30" s="124"/>
      <x:c r="C30" s="132"/>
      <x:c r="D30" s="122" t="s">
        <x:v>4</x:v>
      </x:c>
      <x:c r="E30" s="137">
        <x:v>0</x:v>
      </x:c>
      <x:c r="F30" s="137">
        <x:v>0</x:v>
      </x:c>
      <x:c r="G30" s="137">
        <x:v>0</x:v>
      </x:c>
      <x:c r="H30" s="137">
        <x:v>4</x:v>
      </x:c>
      <x:c r="I30" s="137">
        <x:v>0</x:v>
      </x:c>
      <x:c r="J30" s="137">
        <x:v>0</x:v>
      </x:c>
      <x:c r="K30" s="137">
        <x:v>3</x:v>
      </x:c>
      <x:c r="L30" s="137">
        <x:v>0</x:v>
      </x:c>
      <x:c r="M30" s="138">
        <x:v>0</x:v>
      </x:c>
      <x:c r="O30" s="40" t="str">
        <x:f>O7</x:f>
        <x:v>Fruttato verde</x:v>
      </x:c>
      <x:c r="P30" s="41">
        <x:v>4</x:v>
      </x:c>
      <x:c r="Q30" s="30" t="n">
        <x:f>COUNT(E$7:E$26)/2</x:f>
        <x:v>4</x:v>
      </x:c>
      <x:c r="R30" s="42" t="str">
        <x:f>IF(CHITEST(P30:Q30,P31:Q31)&lt;0.05,"s","ns")</x:f>
        <x:v>s</x:v>
      </x:c>
    </x:row>
    <x:row r="31" ht="27.75" customHeight="1">
      <x:c r="B31" s="125"/>
      <x:c r="C31" s="116"/>
      <x:c r="D31" s="114" t="s">
        <x:v>5</x:v>
      </x:c>
      <x:c r="E31" s="139">
        <x:v>0</x:v>
      </x:c>
      <x:c r="F31" s="140">
        <x:v>0</x:v>
      </x:c>
      <x:c r="G31" s="140">
        <x:v>0</x:v>
      </x:c>
      <x:c r="H31" s="140">
        <x:v>4</x:v>
      </x:c>
      <x:c r="I31" s="140">
        <x:v>0</x:v>
      </x:c>
      <x:c r="J31" s="140">
        <x:v>0</x:v>
      </x:c>
      <x:c r="K31" s="140">
        <x:v>3</x:v>
      </x:c>
      <x:c r="L31" s="140">
        <x:v>0</x:v>
      </x:c>
      <x:c r="M31" s="141">
        <x:v>0</x:v>
      </x:c>
      <x:c r="O31" s="43" t="str">
        <x:f>O8</x:f>
        <x:v>Fruttato maturo</x:v>
      </x:c>
      <x:c r="P31" s="41">
        <x:v>4</x:v>
      </x:c>
      <x:c r="Q31" s="30" t="n">
        <x:f>COUNT(E$7:E$26)/2</x:f>
        <x:v>4</x:v>
      </x:c>
      <x:c r="R31" s="42" t="str">
        <x:f>IF(CHITEST(P30:Q30,P31:Q31)&lt;0.05,"s","ns")</x:f>
        <x:v>s</x:v>
      </x:c>
    </x:row>
    <x:row r="32" ht="27.75" customHeight="1">
      <x:c r="B32" s="126"/>
      <x:c r="C32" s="116"/>
      <x:c r="D32" s="114" t="s">
        <x:v>6</x:v>
      </x:c>
      <x:c r="E32" s="139">
        <x:v>0</x:v>
      </x:c>
      <x:c r="F32" s="140">
        <x:v>0</x:v>
      </x:c>
      <x:c r="G32" s="140">
        <x:v>0</x:v>
      </x:c>
      <x:c r="H32" s="140">
        <x:v>4</x:v>
      </x:c>
      <x:c r="I32" s="140">
        <x:v>0</x:v>
      </x:c>
      <x:c r="J32" s="140">
        <x:v>0</x:v>
      </x:c>
      <x:c r="K32" s="140">
        <x:v>3</x:v>
      </x:c>
      <x:c r="L32" s="140">
        <x:v>0</x:v>
      </x:c>
      <x:c r="M32" s="141">
        <x:v>0</x:v>
      </x:c>
      <x:c r="O32" s="44" t="str">
        <x:v>Controllo</x:v>
      </x:c>
      <x:c r="P32" s="45" t="str">
        <x:f>IF(SUM(P30:P31)&gt;COUNT(E30:E49),"Errore inserimento dato","OK!")</x:f>
        <x:v>OK!</x:v>
      </x:c>
      <x:c r="Q32" s="46"/>
      <x:c r="R32" s="47"/>
    </x:row>
    <x:row r="33" ht="27.75" customHeight="1">
      <x:c r="B33" s="126"/>
      <x:c r="C33" s="116"/>
      <x:c r="D33" s="114" t="s">
        <x:v>7</x:v>
      </x:c>
      <x:c r="E33" s="140">
        <x:v>0</x:v>
      </x:c>
      <x:c r="F33" s="140">
        <x:v>0</x:v>
      </x:c>
      <x:c r="G33" s="140">
        <x:v>0</x:v>
      </x:c>
      <x:c r="H33" s="140">
        <x:v>4</x:v>
      </x:c>
      <x:c r="I33" s="140">
        <x:v>0</x:v>
      </x:c>
      <x:c r="J33" s="140">
        <x:v>0</x:v>
      </x:c>
      <x:c r="K33" s="140">
        <x:v>3</x:v>
      </x:c>
      <x:c r="L33" s="140">
        <x:v>0</x:v>
      </x:c>
      <x:c r="M33" s="141">
        <x:v>0</x:v>
      </x:c>
      <x:c r="O33" s="30" t="str">
        <x:f>$O$10</x:f>
        <x:v>Significatività 5%</x:v>
      </x:c>
    </x:row>
    <x:row r="34" ht="27.75" customHeight="1">
      <x:c r="B34" s="126"/>
      <x:c r="C34" s="116"/>
      <x:c r="D34" s="114" t="s">
        <x:v>8</x:v>
      </x:c>
      <x:c r="E34" s="140">
        <x:v>0</x:v>
      </x:c>
      <x:c r="F34" s="140">
        <x:v>0</x:v>
      </x:c>
      <x:c r="G34" s="140">
        <x:v>0</x:v>
      </x:c>
      <x:c r="H34" s="140">
        <x:v>4</x:v>
      </x:c>
      <x:c r="I34" s="140">
        <x:v>0</x:v>
      </x:c>
      <x:c r="J34" s="140">
        <x:v>0</x:v>
      </x:c>
      <x:c r="K34" s="140">
        <x:v>3</x:v>
      </x:c>
      <x:c r="L34" s="140">
        <x:v>0</x:v>
      </x:c>
      <x:c r="M34" s="141">
        <x:v>0</x:v>
      </x:c>
    </x:row>
    <x:row r="35" ht="27.75" customHeight="1">
      <x:c r="B35" s="126"/>
      <x:c r="C35" s="116"/>
      <x:c r="D35" s="114" t="s">
        <x:v>9</x:v>
      </x:c>
      <x:c r="E35" s="140">
        <x:v>0</x:v>
      </x:c>
      <x:c r="F35" s="140">
        <x:v>0</x:v>
      </x:c>
      <x:c r="G35" s="140">
        <x:v>0</x:v>
      </x:c>
      <x:c r="H35" s="140">
        <x:v>4</x:v>
      </x:c>
      <x:c r="I35" s="140">
        <x:v>0</x:v>
      </x:c>
      <x:c r="J35" s="140">
        <x:v>0</x:v>
      </x:c>
      <x:c r="K35" s="140">
        <x:v>3</x:v>
      </x:c>
      <x:c r="L35" s="140">
        <x:v>0</x:v>
      </x:c>
      <x:c r="M35" s="141">
        <x:v>0</x:v>
      </x:c>
    </x:row>
    <x:row r="36" ht="27.75" customHeight="1">
      <x:c r="B36" s="126"/>
      <x:c r="C36" s="116"/>
      <x:c r="D36" s="114" t="s">
        <x:v>10</x:v>
      </x:c>
      <x:c r="E36" s="140">
        <x:v>0</x:v>
      </x:c>
      <x:c r="F36" s="140">
        <x:v>0</x:v>
      </x:c>
      <x:c r="G36" s="140">
        <x:v>0</x:v>
      </x:c>
      <x:c r="H36" s="140">
        <x:v>4</x:v>
      </x:c>
      <x:c r="I36" s="140">
        <x:v>0</x:v>
      </x:c>
      <x:c r="J36" s="140">
        <x:v>0</x:v>
      </x:c>
      <x:c r="K36" s="140">
        <x:v>3</x:v>
      </x:c>
      <x:c r="L36" s="140">
        <x:v>0</x:v>
      </x:c>
      <x:c r="M36" s="141">
        <x:v>0</x:v>
      </x:c>
    </x:row>
    <x:row r="37" ht="27.75" customHeight="1">
      <x:c r="B37" s="126"/>
      <x:c r="C37" s="116"/>
      <x:c r="D37" s="114" t="s">
        <x:v>11</x:v>
      </x:c>
      <x:c r="E37" s="140">
        <x:v>0</x:v>
      </x:c>
      <x:c r="F37" s="140">
        <x:v>0</x:v>
      </x:c>
      <x:c r="G37" s="140">
        <x:v>1</x:v>
      </x:c>
      <x:c r="H37" s="140">
        <x:v>4</x:v>
      </x:c>
      <x:c r="I37" s="140">
        <x:v>0</x:v>
      </x:c>
      <x:c r="J37" s="140">
        <x:v>1</x:v>
      </x:c>
      <x:c r="K37" s="140">
        <x:v>3</x:v>
      </x:c>
      <x:c r="L37" s="140">
        <x:v>0</x:v>
      </x:c>
      <x:c r="M37" s="141">
        <x:v>0</x:v>
      </x:c>
    </x:row>
    <x:row r="38" ht="27.75" customHeight="1">
      <x:c r="B38" s="127"/>
      <x:c r="C38" s="117"/>
      <x:c r="D38" s="118" t="s">
        <x:v>12</x:v>
      </x:c>
      <x:c r="E38" s="142"/>
      <x:c r="F38" s="142"/>
      <x:c r="G38" s="142"/>
      <x:c r="H38" s="142"/>
      <x:c r="I38" s="142"/>
      <x:c r="J38" s="142"/>
      <x:c r="K38" s="142"/>
      <x:c r="L38" s="142"/>
      <x:c r="M38" s="143"/>
    </x:row>
    <x:row r="39" ht="27.75" customHeight="1">
      <x:c r="B39" s="127"/>
      <x:c r="C39" s="117"/>
      <x:c r="D39" s="118" t="s">
        <x:v>13</x:v>
      </x:c>
      <x:c r="E39" s="142"/>
      <x:c r="F39" s="142"/>
      <x:c r="G39" s="142"/>
      <x:c r="H39" s="142"/>
      <x:c r="I39" s="142"/>
      <x:c r="J39" s="142"/>
      <x:c r="K39" s="142"/>
      <x:c r="L39" s="142"/>
      <x:c r="M39" s="143"/>
    </x:row>
    <x:row r="40" ht="27.75" customHeight="1">
      <x:c r="B40" s="127"/>
      <x:c r="C40" s="117"/>
      <x:c r="D40" s="118" t="s">
        <x:v>14</x:v>
      </x:c>
      <x:c r="E40" s="142"/>
      <x:c r="F40" s="142"/>
      <x:c r="G40" s="142"/>
      <x:c r="H40" s="142"/>
      <x:c r="I40" s="142"/>
      <x:c r="J40" s="142"/>
      <x:c r="K40" s="142"/>
      <x:c r="L40" s="142"/>
      <x:c r="M40" s="143"/>
    </x:row>
    <x:row r="41" ht="27.75" customHeight="1">
      <x:c r="B41" s="127"/>
      <x:c r="C41" s="117"/>
      <x:c r="D41" s="118" t="s">
        <x:v>15</x:v>
      </x:c>
      <x:c r="E41" s="142"/>
      <x:c r="F41" s="142"/>
      <x:c r="G41" s="142"/>
      <x:c r="H41" s="142"/>
      <x:c r="I41" s="142"/>
      <x:c r="J41" s="142"/>
      <x:c r="K41" s="142"/>
      <x:c r="L41" s="142"/>
      <x:c r="M41" s="143"/>
    </x:row>
    <x:row r="42" ht="27.75" customHeight="1">
      <x:c r="B42" s="127"/>
      <x:c r="C42" s="117"/>
      <x:c r="D42" s="118" t="s">
        <x:v>16</x:v>
      </x:c>
      <x:c r="E42" s="142"/>
      <x:c r="F42" s="142"/>
      <x:c r="G42" s="142"/>
      <x:c r="H42" s="142"/>
      <x:c r="I42" s="142"/>
      <x:c r="J42" s="142"/>
      <x:c r="K42" s="142"/>
      <x:c r="L42" s="142"/>
      <x:c r="M42" s="143"/>
    </x:row>
    <x:row r="43" ht="27.75" customHeight="1">
      <x:c r="B43" s="127"/>
      <x:c r="C43" s="117"/>
      <x:c r="D43" s="118" t="s">
        <x:v>17</x:v>
      </x:c>
      <x:c r="E43" s="142"/>
      <x:c r="F43" s="142"/>
      <x:c r="G43" s="142"/>
      <x:c r="H43" s="142"/>
      <x:c r="I43" s="142"/>
      <x:c r="J43" s="142"/>
      <x:c r="K43" s="142"/>
      <x:c r="L43" s="142"/>
      <x:c r="M43" s="143"/>
    </x:row>
    <x:row r="44" ht="27.75" customHeight="1">
      <x:c r="B44" s="127"/>
      <x:c r="C44" s="117"/>
      <x:c r="D44" s="118" t="s">
        <x:v>18</x:v>
      </x:c>
      <x:c r="E44" s="142"/>
      <x:c r="F44" s="142"/>
      <x:c r="G44" s="142"/>
      <x:c r="H44" s="142"/>
      <x:c r="I44" s="142"/>
      <x:c r="J44" s="142"/>
      <x:c r="K44" s="142"/>
      <x:c r="L44" s="142"/>
      <x:c r="M44" s="143"/>
    </x:row>
    <x:row r="45" ht="27.75" customHeight="1">
      <x:c r="B45" s="127"/>
      <x:c r="C45" s="117"/>
      <x:c r="D45" s="118" t="s">
        <x:v>19</x:v>
      </x:c>
      <x:c r="E45" s="142"/>
      <x:c r="F45" s="142"/>
      <x:c r="G45" s="142"/>
      <x:c r="H45" s="142"/>
      <x:c r="I45" s="142"/>
      <x:c r="J45" s="142"/>
      <x:c r="K45" s="142"/>
      <x:c r="L45" s="142"/>
      <x:c r="M45" s="143"/>
    </x:row>
    <x:row r="46" ht="27.75" customHeight="1">
      <x:c r="B46" s="127"/>
      <x:c r="C46" s="117"/>
      <x:c r="D46" s="118" t="s">
        <x:v>20</x:v>
      </x:c>
      <x:c r="E46" s="142"/>
      <x:c r="F46" s="142"/>
      <x:c r="G46" s="142"/>
      <x:c r="H46" s="142"/>
      <x:c r="I46" s="142"/>
      <x:c r="J46" s="142"/>
      <x:c r="K46" s="142"/>
      <x:c r="L46" s="142"/>
      <x:c r="M46" s="143"/>
    </x:row>
    <x:row r="47" ht="27.75" customHeight="1">
      <x:c r="B47" s="127"/>
      <x:c r="C47" s="117"/>
      <x:c r="D47" s="118" t="s">
        <x:v>21</x:v>
      </x:c>
      <x:c r="E47" s="142"/>
      <x:c r="F47" s="142"/>
      <x:c r="G47" s="142"/>
      <x:c r="H47" s="142"/>
      <x:c r="I47" s="142"/>
      <x:c r="J47" s="142"/>
      <x:c r="K47" s="142"/>
      <x:c r="L47" s="142"/>
      <x:c r="M47" s="143"/>
    </x:row>
    <x:row r="48" ht="27.75" customHeight="1">
      <x:c r="B48" s="127"/>
      <x:c r="C48" s="117"/>
      <x:c r="D48" s="118" t="s">
        <x:v>22</x:v>
      </x:c>
      <x:c r="E48" s="142"/>
      <x:c r="F48" s="142"/>
      <x:c r="G48" s="142"/>
      <x:c r="H48" s="142"/>
      <x:c r="I48" s="142"/>
      <x:c r="J48" s="142"/>
      <x:c r="K48" s="142"/>
      <x:c r="L48" s="142"/>
      <x:c r="M48" s="143"/>
    </x:row>
    <x:row r="49" ht="27.75" customHeight="1">
      <x:c r="B49" s="128"/>
      <x:c r="C49" s="119"/>
      <x:c r="D49" s="120" t="s">
        <x:v>23</x:v>
      </x:c>
      <x:c r="E49" s="144"/>
      <x:c r="F49" s="144"/>
      <x:c r="G49" s="144"/>
      <x:c r="H49" s="144"/>
      <x:c r="I49" s="144"/>
      <x:c r="J49" s="144"/>
      <x:c r="K49" s="144"/>
      <x:c r="L49" s="144"/>
      <x:c r="M49" s="145"/>
    </x:row>
    <x:row r="50" ht="27.75" customHeight="1">
      <x:c r="B50" s="121"/>
      <x:c r="C50" s="121"/>
      <x:c r="D50" s="49"/>
      <x:c r="E50" s="50"/>
      <x:c r="F50" s="50"/>
      <x:c r="G50" s="50"/>
      <x:c r="H50" s="50"/>
      <x:c r="I50" s="50"/>
      <x:c r="J50" s="50"/>
      <x:c r="K50" s="50"/>
      <x:c r="L50" s="50"/>
      <x:c r="M50" s="133"/>
    </x:row>
    <x:row r="51" ht="27.75" customHeight="1">
      <x:c r="B51" s="121"/>
      <x:c r="C51" s="121"/>
      <x:c r="D51" s="48"/>
      <x:c r="E51" s="51"/>
      <x:c r="F51" s="51"/>
      <x:c r="G51" s="51"/>
      <x:c r="H51" s="51"/>
      <x:c r="I51" s="51"/>
      <x:c r="J51" s="51"/>
      <x:c r="K51" s="51"/>
      <x:c r="L51" s="51"/>
      <x:c r="M51" s="134"/>
      <x:c r="O51" s="34"/>
      <x:c r="P51" s="31"/>
      <x:c r="Q51" s="31"/>
      <x:c r="R51" s="32" t="s">
        <x:v>0</x:v>
      </x:c>
    </x:row>
    <x:row r="52" ht="27.75" customHeight="1">
      <x:c r="A52" s="28" t="str">
        <x:v>Campione 3</x:v>
      </x:c>
      <x:c r="B52" s="123" t="str">
        <x:f>B6</x:f>
        <x:v>Panel</x:v>
      </x:c>
      <x:c r="C52" s="112" t="str">
        <x:f>C6</x:f>
        <x:v>Campione</x:v>
      </x:c>
      <x:c r="D52" s="108" t="str">
        <x:f>D6</x:f>
        <x:v>Assaggiatore</x:v>
      </x:c>
      <x:c r="E52" s="108" t="str">
        <x:f t="shared" ref="E52:M52" si="1">E6</x:f>
        <x:v>Riscaldo / Morchia</x:v>
      </x:c>
      <x:c r="F52" s="108" t="str">
        <x:f t="shared" si="1"/>
        <x:v>Muffa / Umidità / Terra</x:v>
      </x:c>
      <x:c r="G52" s="108" t="str">
        <x:f t="shared" si="1"/>
        <x:v>Avvinato / Inacetito / Acido / Agro</x:v>
      </x:c>
      <x:c r="H52" s="108" t="str">
        <x:f t="shared" si="1"/>
        <x:v>Olive gelate (legno umido)</x:v>
      </x:c>
      <x:c r="I52" s="108" t="str">
        <x:f t="shared" si="1"/>
        <x:v>Rancido</x:v>
      </x:c>
      <x:c r="J52" s="108" t="str">
        <x:f t="shared" si="1"/>
        <x:v>Altro attributo negativo</x:v>
      </x:c>
      <x:c r="K52" s="108" t="str">
        <x:f t="shared" si="1"/>
        <x:v>Fruttato</x:v>
      </x:c>
      <x:c r="L52" s="108" t="str">
        <x:f t="shared" si="1"/>
        <x:v>Amaro</x:v>
      </x:c>
      <x:c r="M52" s="131" t="str">
        <x:f t="shared" si="1"/>
        <x:v>Piccante</x:v>
      </x:c>
      <x:c r="N52" s="35"/>
      <x:c r="O52" s="36" t="str">
        <x:v>Tipo di fruttato</x:v>
      </x:c>
      <x:c r="P52" s="37" t="str">
        <x:v>Numero di assaggiatori</x:v>
      </x:c>
      <x:c r="Q52" s="38" t="s">
        <x:v>2</x:v>
      </x:c>
      <x:c r="R52" s="39" t="s">
        <x:v>3</x:v>
      </x:c>
    </x:row>
    <x:row r="53" ht="27.75" customHeight="1">
      <x:c r="B53" s="124"/>
      <x:c r="C53" s="132"/>
      <x:c r="D53" s="113" t="s">
        <x:v>4</x:v>
      </x:c>
      <x:c r="E53" s="137">
        <x:v>1.3</x:v>
      </x:c>
      <x:c r="F53" s="137">
        <x:v>0</x:v>
      </x:c>
      <x:c r="G53" s="137">
        <x:v>0</x:v>
      </x:c>
      <x:c r="H53" s="137">
        <x:v>7</x:v>
      </x:c>
      <x:c r="I53" s="137">
        <x:v>0</x:v>
      </x:c>
      <x:c r="J53" s="137">
        <x:v>0</x:v>
      </x:c>
      <x:c r="K53" s="137">
        <x:v>0</x:v>
      </x:c>
      <x:c r="L53" s="137">
        <x:v>0</x:v>
      </x:c>
      <x:c r="M53" s="138">
        <x:v>0</x:v>
      </x:c>
      <x:c r="O53" s="40" t="str">
        <x:f>O7</x:f>
        <x:v>Fruttato verde</x:v>
      </x:c>
      <x:c r="P53" s="41">
        <x:v>6</x:v>
      </x:c>
      <x:c r="Q53" s="30" t="n">
        <x:f>COUNT(E$7:E$26)/2</x:f>
        <x:v>4</x:v>
      </x:c>
      <x:c r="R53" s="42" t="str">
        <x:f>IF(CHITEST(P53:Q53,P54:Q54)&lt;0.05,"s","ns")</x:f>
        <x:v>s</x:v>
      </x:c>
    </x:row>
    <x:row r="54" ht="27.75" customHeight="1">
      <x:c r="B54" s="125"/>
      <x:c r="C54" s="116"/>
      <x:c r="D54" s="115" t="s">
        <x:v>5</x:v>
      </x:c>
      <x:c r="E54" s="139">
        <x:v>0</x:v>
      </x:c>
      <x:c r="F54" s="140">
        <x:v>0</x:v>
      </x:c>
      <x:c r="G54" s="140">
        <x:v>0</x:v>
      </x:c>
      <x:c r="H54" s="140">
        <x:v>7</x:v>
      </x:c>
      <x:c r="I54" s="140">
        <x:v>0</x:v>
      </x:c>
      <x:c r="J54" s="140">
        <x:v>0</x:v>
      </x:c>
      <x:c r="K54" s="140">
        <x:v>1</x:v>
      </x:c>
      <x:c r="L54" s="140">
        <x:v>0</x:v>
      </x:c>
      <x:c r="M54" s="141">
        <x:v>0</x:v>
      </x:c>
      <x:c r="O54" s="43" t="str">
        <x:f>O8</x:f>
        <x:v>Fruttato maturo</x:v>
      </x:c>
      <x:c r="P54" s="41">
        <x:v>2</x:v>
      </x:c>
      <x:c r="Q54" s="30" t="n">
        <x:f>COUNT(E$7:E$26)/2</x:f>
        <x:v>4</x:v>
      </x:c>
      <x:c r="R54" s="42" t="str">
        <x:f>IF(CHITEST(P53:Q53,P54:Q54)&lt;0.05,"s","ns")</x:f>
        <x:v>s</x:v>
      </x:c>
    </x:row>
    <x:row r="55" ht="27.75" customHeight="1">
      <x:c r="B55" s="126"/>
      <x:c r="C55" s="116"/>
      <x:c r="D55" s="115" t="s">
        <x:v>6</x:v>
      </x:c>
      <x:c r="E55" s="139">
        <x:v>0</x:v>
      </x:c>
      <x:c r="F55" s="140">
        <x:v>0</x:v>
      </x:c>
      <x:c r="G55" s="140">
        <x:v>0</x:v>
      </x:c>
      <x:c r="H55" s="140">
        <x:v>7</x:v>
      </x:c>
      <x:c r="I55" s="140">
        <x:v>0</x:v>
      </x:c>
      <x:c r="J55" s="140">
        <x:v>0</x:v>
      </x:c>
      <x:c r="K55" s="140">
        <x:v>1</x:v>
      </x:c>
      <x:c r="L55" s="140">
        <x:v>0</x:v>
      </x:c>
      <x:c r="M55" s="141">
        <x:v>0</x:v>
      </x:c>
      <x:c r="O55" s="44" t="str">
        <x:v>Controllo</x:v>
      </x:c>
      <x:c r="P55" s="45" t="str">
        <x:f>IF(SUM(P53:P54)&gt;COUNT(E53:E72),"Errore inserimento dato","OK!")</x:f>
        <x:v>OK!</x:v>
      </x:c>
      <x:c r="Q55" s="46"/>
      <x:c r="R55" s="47"/>
    </x:row>
    <x:row r="56" ht="27.75" customHeight="1">
      <x:c r="B56" s="126"/>
      <x:c r="C56" s="116"/>
      <x:c r="D56" s="115" t="s">
        <x:v>7</x:v>
      </x:c>
      <x:c r="E56" s="140">
        <x:v>0</x:v>
      </x:c>
      <x:c r="F56" s="140">
        <x:v>0</x:v>
      </x:c>
      <x:c r="G56" s="140">
        <x:v>0</x:v>
      </x:c>
      <x:c r="H56" s="140">
        <x:v>7</x:v>
      </x:c>
      <x:c r="I56" s="140">
        <x:v>0</x:v>
      </x:c>
      <x:c r="J56" s="140">
        <x:v>0</x:v>
      </x:c>
      <x:c r="K56" s="140">
        <x:v>1</x:v>
      </x:c>
      <x:c r="L56" s="140">
        <x:v>0</x:v>
      </x:c>
      <x:c r="M56" s="141">
        <x:v>0</x:v>
      </x:c>
      <x:c r="O56" s="30" t="str">
        <x:f>$O$10</x:f>
        <x:v>Significatività 5%</x:v>
      </x:c>
    </x:row>
    <x:row r="57" ht="27.75" customHeight="1">
      <x:c r="B57" s="126"/>
      <x:c r="C57" s="116"/>
      <x:c r="D57" s="115" t="s">
        <x:v>8</x:v>
      </x:c>
      <x:c r="E57" s="140">
        <x:v>1.2</x:v>
      </x:c>
      <x:c r="F57" s="140">
        <x:v>0</x:v>
      </x:c>
      <x:c r="G57" s="140">
        <x:v>0</x:v>
      </x:c>
      <x:c r="H57" s="140">
        <x:v>7</x:v>
      </x:c>
      <x:c r="I57" s="140">
        <x:v>0</x:v>
      </x:c>
      <x:c r="J57" s="140">
        <x:v>0</x:v>
      </x:c>
      <x:c r="K57" s="140">
        <x:v>1</x:v>
      </x:c>
      <x:c r="L57" s="140">
        <x:v>0</x:v>
      </x:c>
      <x:c r="M57" s="141">
        <x:v>0</x:v>
      </x:c>
    </x:row>
    <x:row r="58" ht="27.75" customHeight="1">
      <x:c r="B58" s="126"/>
      <x:c r="C58" s="116"/>
      <x:c r="D58" s="115" t="s">
        <x:v>9</x:v>
      </x:c>
      <x:c r="E58" s="140">
        <x:v>0</x:v>
      </x:c>
      <x:c r="F58" s="140">
        <x:v>0</x:v>
      </x:c>
      <x:c r="G58" s="140">
        <x:v>0</x:v>
      </x:c>
      <x:c r="H58" s="140">
        <x:v>7</x:v>
      </x:c>
      <x:c r="I58" s="140">
        <x:v>0</x:v>
      </x:c>
      <x:c r="J58" s="140">
        <x:v>0</x:v>
      </x:c>
      <x:c r="K58" s="140">
        <x:v>1</x:v>
      </x:c>
      <x:c r="L58" s="140">
        <x:v>0</x:v>
      </x:c>
      <x:c r="M58" s="141">
        <x:v>0</x:v>
      </x:c>
    </x:row>
    <x:row r="59" ht="27.75" customHeight="1">
      <x:c r="B59" s="126"/>
      <x:c r="C59" s="116"/>
      <x:c r="D59" s="115" t="s">
        <x:v>10</x:v>
      </x:c>
      <x:c r="E59" s="140">
        <x:v>0</x:v>
      </x:c>
      <x:c r="F59" s="140">
        <x:v>0</x:v>
      </x:c>
      <x:c r="G59" s="140">
        <x:v>0</x:v>
      </x:c>
      <x:c r="H59" s="140">
        <x:v>7</x:v>
      </x:c>
      <x:c r="I59" s="140">
        <x:v>0</x:v>
      </x:c>
      <x:c r="J59" s="140">
        <x:v>0</x:v>
      </x:c>
      <x:c r="K59" s="140">
        <x:v>1</x:v>
      </x:c>
      <x:c r="L59" s="140">
        <x:v>0</x:v>
      </x:c>
      <x:c r="M59" s="141">
        <x:v>0</x:v>
      </x:c>
    </x:row>
    <x:row r="60" ht="27.75" customHeight="1">
      <x:c r="B60" s="126"/>
      <x:c r="C60" s="116"/>
      <x:c r="D60" s="115" t="s">
        <x:v>11</x:v>
      </x:c>
      <x:c r="E60" s="140">
        <x:v>0</x:v>
      </x:c>
      <x:c r="F60" s="140">
        <x:v>0</x:v>
      </x:c>
      <x:c r="G60" s="140">
        <x:v>0</x:v>
      </x:c>
      <x:c r="H60" s="140">
        <x:v>7</x:v>
      </x:c>
      <x:c r="I60" s="140">
        <x:v>0</x:v>
      </x:c>
      <x:c r="J60" s="140">
        <x:v>0</x:v>
      </x:c>
      <x:c r="K60" s="140">
        <x:v>1</x:v>
      </x:c>
      <x:c r="L60" s="140">
        <x:v>0</x:v>
      </x:c>
      <x:c r="M60" s="141">
        <x:v>0</x:v>
      </x:c>
    </x:row>
    <x:row r="61" ht="27.75" customHeight="1">
      <x:c r="B61" s="127"/>
      <x:c r="C61" s="117"/>
      <x:c r="D61" s="118" t="s">
        <x:v>12</x:v>
      </x:c>
      <x:c r="E61" s="142"/>
      <x:c r="F61" s="142"/>
      <x:c r="G61" s="142"/>
      <x:c r="H61" s="142"/>
      <x:c r="I61" s="142"/>
      <x:c r="J61" s="142"/>
      <x:c r="K61" s="142"/>
      <x:c r="L61" s="142"/>
      <x:c r="M61" s="143"/>
    </x:row>
    <x:row r="62" ht="27.75" customHeight="1">
      <x:c r="B62" s="127"/>
      <x:c r="C62" s="117"/>
      <x:c r="D62" s="118" t="s">
        <x:v>13</x:v>
      </x:c>
      <x:c r="E62" s="142"/>
      <x:c r="F62" s="142"/>
      <x:c r="G62" s="142"/>
      <x:c r="H62" s="142"/>
      <x:c r="I62" s="142"/>
      <x:c r="J62" s="142"/>
      <x:c r="K62" s="142"/>
      <x:c r="L62" s="142"/>
      <x:c r="M62" s="143"/>
    </x:row>
    <x:row r="63" ht="27.75" customHeight="1">
      <x:c r="B63" s="127"/>
      <x:c r="C63" s="117"/>
      <x:c r="D63" s="118" t="s">
        <x:v>14</x:v>
      </x:c>
      <x:c r="E63" s="142"/>
      <x:c r="F63" s="142"/>
      <x:c r="G63" s="142"/>
      <x:c r="H63" s="142"/>
      <x:c r="I63" s="142"/>
      <x:c r="J63" s="142"/>
      <x:c r="K63" s="142"/>
      <x:c r="L63" s="142"/>
      <x:c r="M63" s="143"/>
    </x:row>
    <x:row r="64" ht="27.75" customHeight="1">
      <x:c r="B64" s="127"/>
      <x:c r="C64" s="117"/>
      <x:c r="D64" s="118" t="s">
        <x:v>15</x:v>
      </x:c>
      <x:c r="E64" s="142"/>
      <x:c r="F64" s="142"/>
      <x:c r="G64" s="142"/>
      <x:c r="H64" s="142"/>
      <x:c r="I64" s="142"/>
      <x:c r="J64" s="142"/>
      <x:c r="K64" s="142"/>
      <x:c r="L64" s="142"/>
      <x:c r="M64" s="143"/>
    </x:row>
    <x:row r="65" ht="27.75" customHeight="1">
      <x:c r="B65" s="127"/>
      <x:c r="C65" s="117"/>
      <x:c r="D65" s="118" t="s">
        <x:v>16</x:v>
      </x:c>
      <x:c r="E65" s="142"/>
      <x:c r="F65" s="142"/>
      <x:c r="G65" s="142"/>
      <x:c r="H65" s="142"/>
      <x:c r="I65" s="142"/>
      <x:c r="J65" s="142"/>
      <x:c r="K65" s="142"/>
      <x:c r="L65" s="142"/>
      <x:c r="M65" s="143"/>
    </x:row>
    <x:row r="66" ht="27.75" customHeight="1">
      <x:c r="B66" s="127"/>
      <x:c r="C66" s="117"/>
      <x:c r="D66" s="118" t="s">
        <x:v>17</x:v>
      </x:c>
      <x:c r="E66" s="142"/>
      <x:c r="F66" s="142"/>
      <x:c r="G66" s="142"/>
      <x:c r="H66" s="142"/>
      <x:c r="I66" s="142"/>
      <x:c r="J66" s="142"/>
      <x:c r="K66" s="142"/>
      <x:c r="L66" s="142"/>
      <x:c r="M66" s="143"/>
    </x:row>
    <x:row r="67" ht="27.75" customHeight="1">
      <x:c r="B67" s="127"/>
      <x:c r="C67" s="117"/>
      <x:c r="D67" s="118" t="s">
        <x:v>18</x:v>
      </x:c>
      <x:c r="E67" s="142"/>
      <x:c r="F67" s="142"/>
      <x:c r="G67" s="142"/>
      <x:c r="H67" s="142"/>
      <x:c r="I67" s="142"/>
      <x:c r="J67" s="142"/>
      <x:c r="K67" s="142"/>
      <x:c r="L67" s="142"/>
      <x:c r="M67" s="143"/>
    </x:row>
    <x:row r="68" ht="27.75" customHeight="1">
      <x:c r="B68" s="127"/>
      <x:c r="C68" s="117"/>
      <x:c r="D68" s="118" t="s">
        <x:v>19</x:v>
      </x:c>
      <x:c r="E68" s="142"/>
      <x:c r="F68" s="142"/>
      <x:c r="G68" s="142"/>
      <x:c r="H68" s="142"/>
      <x:c r="I68" s="142"/>
      <x:c r="J68" s="142"/>
      <x:c r="K68" s="142"/>
      <x:c r="L68" s="142"/>
      <x:c r="M68" s="143"/>
    </x:row>
    <x:row r="69" ht="27.75" customHeight="1">
      <x:c r="B69" s="127"/>
      <x:c r="C69" s="117"/>
      <x:c r="D69" s="118" t="s">
        <x:v>20</x:v>
      </x:c>
      <x:c r="E69" s="142"/>
      <x:c r="F69" s="142"/>
      <x:c r="G69" s="142"/>
      <x:c r="H69" s="142"/>
      <x:c r="I69" s="142"/>
      <x:c r="J69" s="142"/>
      <x:c r="K69" s="142"/>
      <x:c r="L69" s="142"/>
      <x:c r="M69" s="143"/>
    </x:row>
    <x:row r="70" ht="27.75" customHeight="1">
      <x:c r="B70" s="127"/>
      <x:c r="C70" s="117"/>
      <x:c r="D70" s="118" t="s">
        <x:v>21</x:v>
      </x:c>
      <x:c r="E70" s="142"/>
      <x:c r="F70" s="142"/>
      <x:c r="G70" s="142"/>
      <x:c r="H70" s="142"/>
      <x:c r="I70" s="142"/>
      <x:c r="J70" s="142"/>
      <x:c r="K70" s="142"/>
      <x:c r="L70" s="142"/>
      <x:c r="M70" s="143"/>
    </x:row>
    <x:row r="71" ht="27.75" customHeight="1">
      <x:c r="B71" s="127"/>
      <x:c r="C71" s="117"/>
      <x:c r="D71" s="118" t="s">
        <x:v>22</x:v>
      </x:c>
      <x:c r="E71" s="142"/>
      <x:c r="F71" s="142"/>
      <x:c r="G71" s="142"/>
      <x:c r="H71" s="142"/>
      <x:c r="I71" s="142"/>
      <x:c r="J71" s="142"/>
      <x:c r="K71" s="142"/>
      <x:c r="L71" s="142"/>
      <x:c r="M71" s="143"/>
    </x:row>
    <x:row r="72" ht="27.75" customHeight="1">
      <x:c r="B72" s="128"/>
      <x:c r="C72" s="119"/>
      <x:c r="D72" s="120" t="s">
        <x:v>23</x:v>
      </x:c>
      <x:c r="E72" s="144"/>
      <x:c r="F72" s="144"/>
      <x:c r="G72" s="144"/>
      <x:c r="H72" s="144"/>
      <x:c r="I72" s="144"/>
      <x:c r="J72" s="144"/>
      <x:c r="K72" s="144"/>
      <x:c r="L72" s="144"/>
      <x:c r="M72" s="145"/>
    </x:row>
    <x:row r="73" ht="27.75" customHeight="1">
      <x:c r="B73" s="121"/>
      <x:c r="C73" s="121"/>
      <x:c r="D73" s="49"/>
      <x:c r="E73" s="50"/>
      <x:c r="F73" s="50"/>
      <x:c r="G73" s="50"/>
      <x:c r="H73" s="50"/>
      <x:c r="I73" s="50"/>
      <x:c r="J73" s="50"/>
      <x:c r="K73" s="50"/>
      <x:c r="L73" s="50"/>
      <x:c r="M73" s="133"/>
    </x:row>
    <x:row r="74" ht="27.75" customHeight="1">
      <x:c r="B74" s="121"/>
      <x:c r="C74" s="121"/>
      <x:c r="D74" s="48"/>
      <x:c r="E74" s="51"/>
      <x:c r="F74" s="51"/>
      <x:c r="G74" s="51"/>
      <x:c r="H74" s="51"/>
      <x:c r="I74" s="51"/>
      <x:c r="J74" s="51"/>
      <x:c r="K74" s="51"/>
      <x:c r="L74" s="51"/>
      <x:c r="M74" s="134"/>
      <x:c r="O74" s="34"/>
      <x:c r="P74" s="31"/>
      <x:c r="Q74" s="31"/>
      <x:c r="R74" s="32" t="s">
        <x:v>0</x:v>
      </x:c>
    </x:row>
    <x:row r="75" ht="27.75" customHeight="1">
      <x:c r="A75" s="28" t="str">
        <x:v>Campione 4</x:v>
      </x:c>
      <x:c r="B75" s="123" t="str">
        <x:f>B6</x:f>
        <x:v>Panel</x:v>
      </x:c>
      <x:c r="C75" s="112" t="str">
        <x:f>C6</x:f>
        <x:v>Campione</x:v>
      </x:c>
      <x:c r="D75" s="108" t="str">
        <x:f>D6</x:f>
        <x:v>Assaggiatore</x:v>
      </x:c>
      <x:c r="E75" s="108" t="str">
        <x:f t="shared" ref="E75:M75" si="2">E6</x:f>
        <x:v>Riscaldo / Morchia</x:v>
      </x:c>
      <x:c r="F75" s="108" t="str">
        <x:f t="shared" si="2"/>
        <x:v>Muffa / Umidità / Terra</x:v>
      </x:c>
      <x:c r="G75" s="108" t="str">
        <x:f t="shared" si="2"/>
        <x:v>Avvinato / Inacetito / Acido / Agro</x:v>
      </x:c>
      <x:c r="H75" s="108" t="str">
        <x:f t="shared" si="2"/>
        <x:v>Olive gelate (legno umido)</x:v>
      </x:c>
      <x:c r="I75" s="108" t="str">
        <x:f t="shared" si="2"/>
        <x:v>Rancido</x:v>
      </x:c>
      <x:c r="J75" s="108" t="str">
        <x:f t="shared" si="2"/>
        <x:v>Altro attributo negativo</x:v>
      </x:c>
      <x:c r="K75" s="108" t="str">
        <x:f t="shared" si="2"/>
        <x:v>Fruttato</x:v>
      </x:c>
      <x:c r="L75" s="108" t="str">
        <x:f t="shared" si="2"/>
        <x:v>Amaro</x:v>
      </x:c>
      <x:c r="M75" s="131" t="str">
        <x:f t="shared" si="2"/>
        <x:v>Piccante</x:v>
      </x:c>
      <x:c r="N75" s="35"/>
      <x:c r="O75" s="36" t="str">
        <x:v>Tipo di fruttato</x:v>
      </x:c>
      <x:c r="P75" s="37" t="str">
        <x:v>Numero di assaggiatori</x:v>
      </x:c>
      <x:c r="Q75" s="38" t="s">
        <x:v>2</x:v>
      </x:c>
      <x:c r="R75" s="39" t="s">
        <x:v>3</x:v>
      </x:c>
    </x:row>
    <x:row r="76" ht="27.75" customHeight="1">
      <x:c r="B76" s="124"/>
      <x:c r="C76" s="132"/>
      <x:c r="D76" s="113" t="s">
        <x:v>4</x:v>
      </x:c>
      <x:c r="E76" s="137">
        <x:v>0</x:v>
      </x:c>
      <x:c r="F76" s="137">
        <x:v>0</x:v>
      </x:c>
      <x:c r="G76" s="137">
        <x:v>0</x:v>
      </x:c>
      <x:c r="H76" s="137">
        <x:v>2</x:v>
      </x:c>
      <x:c r="I76" s="137">
        <x:v>0</x:v>
      </x:c>
      <x:c r="J76" s="137">
        <x:v>0</x:v>
      </x:c>
      <x:c r="K76" s="137">
        <x:v>3</x:v>
      </x:c>
      <x:c r="L76" s="137">
        <x:v>0</x:v>
      </x:c>
      <x:c r="M76" s="138">
        <x:v>0</x:v>
      </x:c>
      <x:c r="O76" s="40" t="str">
        <x:f>O7</x:f>
        <x:v>Fruttato verde</x:v>
      </x:c>
      <x:c r="P76" s="41">
        <x:v>4</x:v>
      </x:c>
      <x:c r="Q76" s="30" t="n">
        <x:f>COUNT(E$7:E$26)/2</x:f>
        <x:v>4</x:v>
      </x:c>
      <x:c r="R76" s="42" t="str">
        <x:f>IF(CHITEST(P76:Q76,P77:Q77)&lt;0.05,"s","ns")</x:f>
        <x:v>s</x:v>
      </x:c>
    </x:row>
    <x:row r="77" ht="27.75" customHeight="1">
      <x:c r="B77" s="125"/>
      <x:c r="C77" s="116"/>
      <x:c r="D77" s="115" t="s">
        <x:v>5</x:v>
      </x:c>
      <x:c r="E77" s="139">
        <x:v>0</x:v>
      </x:c>
      <x:c r="F77" s="140">
        <x:v>0</x:v>
      </x:c>
      <x:c r="G77" s="140">
        <x:v>0</x:v>
      </x:c>
      <x:c r="H77" s="140">
        <x:v>2</x:v>
      </x:c>
      <x:c r="I77" s="140">
        <x:v>0</x:v>
      </x:c>
      <x:c r="J77" s="140">
        <x:v>0</x:v>
      </x:c>
      <x:c r="K77" s="140">
        <x:v>3</x:v>
      </x:c>
      <x:c r="L77" s="140">
        <x:v>0</x:v>
      </x:c>
      <x:c r="M77" s="141">
        <x:v>0</x:v>
      </x:c>
      <x:c r="O77" s="43" t="str">
        <x:f>O8</x:f>
        <x:v>Fruttato maturo</x:v>
      </x:c>
      <x:c r="P77" s="41">
        <x:v>4</x:v>
      </x:c>
      <x:c r="Q77" s="30" t="n">
        <x:f>COUNT(E$7:E$26)/2</x:f>
        <x:v>4</x:v>
      </x:c>
      <x:c r="R77" s="42" t="str">
        <x:f>IF(CHITEST(P76:Q76,P77:Q77)&lt;0.05,"s","ns")</x:f>
        <x:v>s</x:v>
      </x:c>
    </x:row>
    <x:row r="78" ht="27.75" customHeight="1">
      <x:c r="B78" s="126"/>
      <x:c r="C78" s="116"/>
      <x:c r="D78" s="115" t="s">
        <x:v>6</x:v>
      </x:c>
      <x:c r="E78" s="139">
        <x:v>0</x:v>
      </x:c>
      <x:c r="F78" s="140">
        <x:v>0</x:v>
      </x:c>
      <x:c r="G78" s="140">
        <x:v>0</x:v>
      </x:c>
      <x:c r="H78" s="140">
        <x:v>2</x:v>
      </x:c>
      <x:c r="I78" s="140">
        <x:v>0</x:v>
      </x:c>
      <x:c r="J78" s="140">
        <x:v>0</x:v>
      </x:c>
      <x:c r="K78" s="140">
        <x:v>3</x:v>
      </x:c>
      <x:c r="L78" s="140">
        <x:v>0</x:v>
      </x:c>
      <x:c r="M78" s="141">
        <x:v>0</x:v>
      </x:c>
      <x:c r="O78" s="43"/>
      <x:c r="P78" s="41"/>
      <x:c r="R78" s="42"/>
    </x:row>
    <x:row r="79" ht="27.75" customHeight="1">
      <x:c r="B79" s="126"/>
      <x:c r="C79" s="116"/>
      <x:c r="D79" s="115" t="s">
        <x:v>7</x:v>
      </x:c>
      <x:c r="E79" s="140">
        <x:v>0</x:v>
      </x:c>
      <x:c r="F79" s="140">
        <x:v>0</x:v>
      </x:c>
      <x:c r="G79" s="140">
        <x:v>2.5</x:v>
      </x:c>
      <x:c r="H79" s="140">
        <x:v>2</x:v>
      </x:c>
      <x:c r="I79" s="140">
        <x:v>0</x:v>
      </x:c>
      <x:c r="J79" s="140">
        <x:v>0</x:v>
      </x:c>
      <x:c r="K79" s="140">
        <x:v>3</x:v>
      </x:c>
      <x:c r="L79" s="140">
        <x:v>0</x:v>
      </x:c>
      <x:c r="M79" s="141">
        <x:v>0</x:v>
      </x:c>
      <x:c r="O79" s="44" t="str">
        <x:v>Controllo</x:v>
      </x:c>
      <x:c r="P79" s="45" t="str">
        <x:f>IF(SUM(P76:P77)&gt;COUNT(E76:E95),"Errore inserimento dato","OK!")</x:f>
        <x:v>OK!</x:v>
      </x:c>
      <x:c r="Q79" s="46"/>
      <x:c r="R79" s="47"/>
    </x:row>
    <x:row r="80" ht="27.75" customHeight="1">
      <x:c r="B80" s="126"/>
      <x:c r="C80" s="116"/>
      <x:c r="D80" s="115" t="s">
        <x:v>8</x:v>
      </x:c>
      <x:c r="E80" s="140">
        <x:v>0</x:v>
      </x:c>
      <x:c r="F80" s="140">
        <x:v>0</x:v>
      </x:c>
      <x:c r="G80" s="140">
        <x:v>0</x:v>
      </x:c>
      <x:c r="H80" s="140">
        <x:v>2</x:v>
      </x:c>
      <x:c r="I80" s="140">
        <x:v>0</x:v>
      </x:c>
      <x:c r="J80" s="140">
        <x:v>0</x:v>
      </x:c>
      <x:c r="K80" s="140">
        <x:v>3</x:v>
      </x:c>
      <x:c r="L80" s="140">
        <x:v>0</x:v>
      </x:c>
      <x:c r="M80" s="141">
        <x:v>0</x:v>
      </x:c>
      <x:c r="O80" s="30" t="str">
        <x:f>$O$10</x:f>
        <x:v>Significatività 5%</x:v>
      </x:c>
      <x:c r="P80" s="35"/>
    </x:row>
    <x:row r="81" ht="27.75" customHeight="1">
      <x:c r="B81" s="126"/>
      <x:c r="C81" s="116"/>
      <x:c r="D81" s="115" t="s">
        <x:v>9</x:v>
      </x:c>
      <x:c r="E81" s="140">
        <x:v>0</x:v>
      </x:c>
      <x:c r="F81" s="140">
        <x:v>0</x:v>
      </x:c>
      <x:c r="G81" s="140">
        <x:v>0</x:v>
      </x:c>
      <x:c r="H81" s="140">
        <x:v>2</x:v>
      </x:c>
      <x:c r="I81" s="140">
        <x:v>0</x:v>
      </x:c>
      <x:c r="J81" s="140">
        <x:v>0</x:v>
      </x:c>
      <x:c r="K81" s="140">
        <x:v>3</x:v>
      </x:c>
      <x:c r="L81" s="140">
        <x:v>0</x:v>
      </x:c>
      <x:c r="M81" s="141">
        <x:v>0</x:v>
      </x:c>
      <x:c r="P81" s="35"/>
    </x:row>
    <x:row r="82" ht="27.75" customHeight="1">
      <x:c r="B82" s="126"/>
      <x:c r="C82" s="116"/>
      <x:c r="D82" s="115" t="s">
        <x:v>10</x:v>
      </x:c>
      <x:c r="E82" s="140">
        <x:v>0</x:v>
      </x:c>
      <x:c r="F82" s="140">
        <x:v>0</x:v>
      </x:c>
      <x:c r="G82" s="140">
        <x:v>0</x:v>
      </x:c>
      <x:c r="H82" s="140">
        <x:v>2</x:v>
      </x:c>
      <x:c r="I82" s="140">
        <x:v>0.9</x:v>
      </x:c>
      <x:c r="J82" s="140">
        <x:v>0</x:v>
      </x:c>
      <x:c r="K82" s="140">
        <x:v>3</x:v>
      </x:c>
      <x:c r="L82" s="140">
        <x:v>0</x:v>
      </x:c>
      <x:c r="M82" s="141">
        <x:v>0</x:v>
      </x:c>
      <x:c r="P82" s="35"/>
    </x:row>
    <x:row r="83" ht="27.75" customHeight="1">
      <x:c r="B83" s="126"/>
      <x:c r="C83" s="116"/>
      <x:c r="D83" s="115" t="s">
        <x:v>11</x:v>
      </x:c>
      <x:c r="E83" s="140">
        <x:v>0</x:v>
      </x:c>
      <x:c r="F83" s="140">
        <x:v>0</x:v>
      </x:c>
      <x:c r="G83" s="140">
        <x:v>0</x:v>
      </x:c>
      <x:c r="H83" s="140">
        <x:v>2</x:v>
      </x:c>
      <x:c r="I83" s="140">
        <x:v>0</x:v>
      </x:c>
      <x:c r="J83" s="140">
        <x:v>0</x:v>
      </x:c>
      <x:c r="K83" s="140">
        <x:v>3</x:v>
      </x:c>
      <x:c r="L83" s="140">
        <x:v>0</x:v>
      </x:c>
      <x:c r="M83" s="141">
        <x:v>0</x:v>
      </x:c>
      <x:c r="P83" s="35"/>
    </x:row>
    <x:row r="84" ht="27.75" customHeight="1">
      <x:c r="B84" s="127"/>
      <x:c r="C84" s="117"/>
      <x:c r="D84" s="118" t="s">
        <x:v>12</x:v>
      </x:c>
      <x:c r="E84" s="142"/>
      <x:c r="F84" s="142"/>
      <x:c r="G84" s="142"/>
      <x:c r="H84" s="142"/>
      <x:c r="I84" s="142"/>
      <x:c r="J84" s="142"/>
      <x:c r="K84" s="142"/>
      <x:c r="L84" s="142"/>
      <x:c r="M84" s="143"/>
    </x:row>
    <x:row r="85" ht="27.75" customHeight="1">
      <x:c r="B85" s="127"/>
      <x:c r="C85" s="117"/>
      <x:c r="D85" s="118" t="s">
        <x:v>13</x:v>
      </x:c>
      <x:c r="E85" s="142"/>
      <x:c r="F85" s="142"/>
      <x:c r="G85" s="142"/>
      <x:c r="H85" s="142"/>
      <x:c r="I85" s="142"/>
      <x:c r="J85" s="142"/>
      <x:c r="K85" s="142"/>
      <x:c r="L85" s="142"/>
      <x:c r="M85" s="143"/>
    </x:row>
    <x:row r="86" ht="27.75" customHeight="1">
      <x:c r="B86" s="127"/>
      <x:c r="C86" s="117"/>
      <x:c r="D86" s="118" t="s">
        <x:v>14</x:v>
      </x:c>
      <x:c r="E86" s="142"/>
      <x:c r="F86" s="142"/>
      <x:c r="G86" s="142"/>
      <x:c r="H86" s="142"/>
      <x:c r="I86" s="142"/>
      <x:c r="J86" s="142"/>
      <x:c r="K86" s="142"/>
      <x:c r="L86" s="142"/>
      <x:c r="M86" s="143"/>
    </x:row>
    <x:row r="87" ht="27.75" customHeight="1">
      <x:c r="B87" s="127"/>
      <x:c r="C87" s="117"/>
      <x:c r="D87" s="118" t="s">
        <x:v>15</x:v>
      </x:c>
      <x:c r="E87" s="142"/>
      <x:c r="F87" s="142"/>
      <x:c r="G87" s="142"/>
      <x:c r="H87" s="142"/>
      <x:c r="I87" s="142"/>
      <x:c r="J87" s="142"/>
      <x:c r="K87" s="142"/>
      <x:c r="L87" s="142"/>
      <x:c r="M87" s="143"/>
    </x:row>
    <x:row r="88" ht="27.75" customHeight="1">
      <x:c r="B88" s="127"/>
      <x:c r="C88" s="117"/>
      <x:c r="D88" s="118" t="s">
        <x:v>16</x:v>
      </x:c>
      <x:c r="E88" s="142"/>
      <x:c r="F88" s="142"/>
      <x:c r="G88" s="142"/>
      <x:c r="H88" s="142"/>
      <x:c r="I88" s="142"/>
      <x:c r="J88" s="142"/>
      <x:c r="K88" s="142"/>
      <x:c r="L88" s="142"/>
      <x:c r="M88" s="143"/>
    </x:row>
    <x:row r="89" ht="27.75" customHeight="1">
      <x:c r="B89" s="127"/>
      <x:c r="C89" s="117"/>
      <x:c r="D89" s="118" t="s">
        <x:v>17</x:v>
      </x:c>
      <x:c r="E89" s="142"/>
      <x:c r="F89" s="142"/>
      <x:c r="G89" s="142"/>
      <x:c r="H89" s="142"/>
      <x:c r="I89" s="142"/>
      <x:c r="J89" s="142"/>
      <x:c r="K89" s="142"/>
      <x:c r="L89" s="142"/>
      <x:c r="M89" s="143"/>
    </x:row>
    <x:row r="90" ht="27.75" customHeight="1">
      <x:c r="B90" s="127"/>
      <x:c r="C90" s="117"/>
      <x:c r="D90" s="118" t="s">
        <x:v>18</x:v>
      </x:c>
      <x:c r="E90" s="142"/>
      <x:c r="F90" s="142"/>
      <x:c r="G90" s="142"/>
      <x:c r="H90" s="142"/>
      <x:c r="I90" s="142"/>
      <x:c r="J90" s="142"/>
      <x:c r="K90" s="142"/>
      <x:c r="L90" s="142"/>
      <x:c r="M90" s="143"/>
    </x:row>
    <x:row r="91" ht="27.75" customHeight="1">
      <x:c r="B91" s="127"/>
      <x:c r="C91" s="117"/>
      <x:c r="D91" s="118" t="s">
        <x:v>19</x:v>
      </x:c>
      <x:c r="E91" s="142"/>
      <x:c r="F91" s="142"/>
      <x:c r="G91" s="142"/>
      <x:c r="H91" s="142"/>
      <x:c r="I91" s="142"/>
      <x:c r="J91" s="142"/>
      <x:c r="K91" s="142"/>
      <x:c r="L91" s="142"/>
      <x:c r="M91" s="143"/>
    </x:row>
    <x:row r="92" ht="27.75" customHeight="1">
      <x:c r="B92" s="127"/>
      <x:c r="C92" s="117"/>
      <x:c r="D92" s="118" t="s">
        <x:v>20</x:v>
      </x:c>
      <x:c r="E92" s="142"/>
      <x:c r="F92" s="142"/>
      <x:c r="G92" s="142"/>
      <x:c r="H92" s="142"/>
      <x:c r="I92" s="142"/>
      <x:c r="J92" s="142"/>
      <x:c r="K92" s="142"/>
      <x:c r="L92" s="142"/>
      <x:c r="M92" s="143"/>
    </x:row>
    <x:row r="93" ht="27.75" customHeight="1">
      <x:c r="B93" s="127"/>
      <x:c r="C93" s="117"/>
      <x:c r="D93" s="118" t="s">
        <x:v>21</x:v>
      </x:c>
      <x:c r="E93" s="142"/>
      <x:c r="F93" s="142"/>
      <x:c r="G93" s="142"/>
      <x:c r="H93" s="142"/>
      <x:c r="I93" s="142"/>
      <x:c r="J93" s="142"/>
      <x:c r="K93" s="142"/>
      <x:c r="L93" s="142"/>
      <x:c r="M93" s="143"/>
    </x:row>
    <x:row r="94" ht="27.75" customHeight="1">
      <x:c r="B94" s="127"/>
      <x:c r="C94" s="117"/>
      <x:c r="D94" s="118" t="s">
        <x:v>22</x:v>
      </x:c>
      <x:c r="E94" s="142"/>
      <x:c r="F94" s="142"/>
      <x:c r="G94" s="142"/>
      <x:c r="H94" s="142"/>
      <x:c r="I94" s="142"/>
      <x:c r="J94" s="142"/>
      <x:c r="K94" s="142"/>
      <x:c r="L94" s="142"/>
      <x:c r="M94" s="143"/>
    </x:row>
    <x:row r="95" ht="27.75" customHeight="1">
      <x:c r="B95" s="128"/>
      <x:c r="C95" s="119"/>
      <x:c r="D95" s="120" t="s">
        <x:v>23</x:v>
      </x:c>
      <x:c r="E95" s="144"/>
      <x:c r="F95" s="144"/>
      <x:c r="G95" s="144"/>
      <x:c r="H95" s="144"/>
      <x:c r="I95" s="144"/>
      <x:c r="J95" s="144"/>
      <x:c r="K95" s="144"/>
      <x:c r="L95" s="144"/>
      <x:c r="M95" s="145"/>
    </x:row>
    <x:row r="96" ht="27.75" customHeight="1">
      <x:c r="B96" s="121"/>
      <x:c r="C96" s="121"/>
      <x:c r="D96" s="49"/>
      <x:c r="E96" s="50"/>
      <x:c r="F96" s="50"/>
      <x:c r="G96" s="50"/>
      <x:c r="H96" s="50"/>
      <x:c r="I96" s="50"/>
      <x:c r="J96" s="50"/>
      <x:c r="K96" s="50"/>
      <x:c r="L96" s="50"/>
      <x:c r="M96" s="133"/>
    </x:row>
    <x:row r="97" ht="27.75" customHeight="1">
      <x:c r="B97" s="121"/>
      <x:c r="C97" s="121"/>
      <x:c r="D97" s="48"/>
      <x:c r="E97" s="51"/>
      <x:c r="F97" s="51"/>
      <x:c r="G97" s="51"/>
      <x:c r="H97" s="51"/>
      <x:c r="I97" s="51"/>
      <x:c r="J97" s="51"/>
      <x:c r="K97" s="51"/>
      <x:c r="L97" s="51"/>
      <x:c r="M97" s="134"/>
      <x:c r="O97" s="34"/>
      <x:c r="P97" s="31"/>
      <x:c r="Q97" s="31"/>
      <x:c r="R97" s="32" t="s">
        <x:v>0</x:v>
      </x:c>
    </x:row>
    <x:row r="98" ht="27.75" customHeight="1">
      <x:c r="A98" s="28" t="str">
        <x:v>Campione 5</x:v>
      </x:c>
      <x:c r="B98" s="123" t="str">
        <x:f>B6</x:f>
        <x:v>Panel</x:v>
      </x:c>
      <x:c r="C98" s="112" t="str">
        <x:f>C6</x:f>
        <x:v>Campione</x:v>
      </x:c>
      <x:c r="D98" s="108" t="str">
        <x:f t="shared" ref="D98:M98" si="3">D6</x:f>
        <x:v>Assaggiatore</x:v>
      </x:c>
      <x:c r="E98" s="108" t="str">
        <x:f t="shared" si="3"/>
        <x:v>Riscaldo / Morchia</x:v>
      </x:c>
      <x:c r="F98" s="108" t="str">
        <x:f t="shared" si="3"/>
        <x:v>Muffa / Umidità / Terra</x:v>
      </x:c>
      <x:c r="G98" s="108" t="str">
        <x:f t="shared" si="3"/>
        <x:v>Avvinato / Inacetito / Acido / Agro</x:v>
      </x:c>
      <x:c r="H98" s="108" t="str">
        <x:f t="shared" si="3"/>
        <x:v>Olive gelate (legno umido)</x:v>
      </x:c>
      <x:c r="I98" s="108" t="str">
        <x:f t="shared" si="3"/>
        <x:v>Rancido</x:v>
      </x:c>
      <x:c r="J98" s="108" t="str">
        <x:f t="shared" si="3"/>
        <x:v>Altro attributo negativo</x:v>
      </x:c>
      <x:c r="K98" s="108" t="str">
        <x:f t="shared" si="3"/>
        <x:v>Fruttato</x:v>
      </x:c>
      <x:c r="L98" s="108" t="str">
        <x:f t="shared" si="3"/>
        <x:v>Amaro</x:v>
      </x:c>
      <x:c r="M98" s="131" t="str">
        <x:f t="shared" si="3"/>
        <x:v>Piccante</x:v>
      </x:c>
      <x:c r="N98" s="35"/>
      <x:c r="O98" s="36" t="str">
        <x:v>Tipo di fruttato</x:v>
      </x:c>
      <x:c r="P98" s="37" t="str">
        <x:v>Numero di assaggiatori</x:v>
      </x:c>
      <x:c r="Q98" s="38" t="s">
        <x:v>2</x:v>
      </x:c>
      <x:c r="R98" s="39" t="s">
        <x:v>3</x:v>
      </x:c>
    </x:row>
    <x:row r="99" ht="27.75" customHeight="1">
      <x:c r="A99" s="54" t="s">
        <x:v>24</x:v>
      </x:c>
      <x:c r="B99" s="124"/>
      <x:c r="C99" s="132"/>
      <x:c r="D99" s="113" t="s">
        <x:v>4</x:v>
      </x:c>
      <x:c r="E99" s="137">
        <x:v>0</x:v>
      </x:c>
      <x:c r="F99" s="137">
        <x:v>0</x:v>
      </x:c>
      <x:c r="G99" s="137">
        <x:v>0</x:v>
      </x:c>
      <x:c r="H99" s="137">
        <x:v>0</x:v>
      </x:c>
      <x:c r="I99" s="137">
        <x:v>0</x:v>
      </x:c>
      <x:c r="J99" s="137">
        <x:v>0</x:v>
      </x:c>
      <x:c r="K99" s="137">
        <x:v>3</x:v>
      </x:c>
      <x:c r="L99" s="137">
        <x:v>0</x:v>
      </x:c>
      <x:c r="M99" s="138">
        <x:v>0</x:v>
      </x:c>
      <x:c r="O99" s="40" t="str">
        <x:f>O7</x:f>
        <x:v>Fruttato verde</x:v>
      </x:c>
      <x:c r="P99" s="41">
        <x:v>5</x:v>
      </x:c>
      <x:c r="Q99" s="30" t="n">
        <x:f>COUNT(E$7:E$26)/2</x:f>
        <x:v>4</x:v>
      </x:c>
      <x:c r="R99" s="42" t="str">
        <x:f>IF(CHITEST(P99:Q99,P100:Q100)&lt;0.05,"s","ns")</x:f>
        <x:v>s</x:v>
      </x:c>
    </x:row>
    <x:row r="100" ht="27.75" customHeight="1">
      <x:c r="B100" s="125"/>
      <x:c r="C100" s="116"/>
      <x:c r="D100" s="115" t="s">
        <x:v>5</x:v>
      </x:c>
      <x:c r="E100" s="139">
        <x:v>0</x:v>
      </x:c>
      <x:c r="F100" s="140">
        <x:v>0</x:v>
      </x:c>
      <x:c r="G100" s="140">
        <x:v>0</x:v>
      </x:c>
      <x:c r="H100" s="140">
        <x:v>0</x:v>
      </x:c>
      <x:c r="I100" s="140">
        <x:v>0</x:v>
      </x:c>
      <x:c r="J100" s="140">
        <x:v>0</x:v>
      </x:c>
      <x:c r="K100" s="140">
        <x:v>3</x:v>
      </x:c>
      <x:c r="L100" s="140">
        <x:v>0</x:v>
      </x:c>
      <x:c r="M100" s="141">
        <x:v>0</x:v>
      </x:c>
      <x:c r="O100" s="43" t="str">
        <x:f>O8</x:f>
        <x:v>Fruttato maturo</x:v>
      </x:c>
      <x:c r="P100" s="41">
        <x:v>3</x:v>
      </x:c>
      <x:c r="Q100" s="30" t="n">
        <x:f>COUNT(E$7:E$26)/2</x:f>
        <x:v>4</x:v>
      </x:c>
      <x:c r="R100" s="42" t="str">
        <x:f>IF(CHITEST(P99:Q99,P100:Q100)&lt;0.05,"s","ns")</x:f>
        <x:v>s</x:v>
      </x:c>
    </x:row>
    <x:row r="101" ht="27.75" customHeight="1">
      <x:c r="B101" s="126"/>
      <x:c r="C101" s="116"/>
      <x:c r="D101" s="115" t="s">
        <x:v>6</x:v>
      </x:c>
      <x:c r="E101" s="139">
        <x:v>0</x:v>
      </x:c>
      <x:c r="F101" s="140">
        <x:v>0</x:v>
      </x:c>
      <x:c r="G101" s="140">
        <x:v>0</x:v>
      </x:c>
      <x:c r="H101" s="140">
        <x:v>0</x:v>
      </x:c>
      <x:c r="I101" s="140">
        <x:v>0</x:v>
      </x:c>
      <x:c r="J101" s="140">
        <x:v>0</x:v>
      </x:c>
      <x:c r="K101" s="140">
        <x:v>3</x:v>
      </x:c>
      <x:c r="L101" s="140">
        <x:v>0</x:v>
      </x:c>
      <x:c r="M101" s="141">
        <x:v>0</x:v>
      </x:c>
      <x:c r="O101" s="44" t="str">
        <x:v>Controllo</x:v>
      </x:c>
      <x:c r="P101" s="45" t="str">
        <x:f>IF(SUM(P99:P100)&gt;COUNT(E99:E118),"Errore inserimento dato","OK!")</x:f>
        <x:v>OK!</x:v>
      </x:c>
      <x:c r="Q101" s="46"/>
      <x:c r="R101" s="47"/>
    </x:row>
    <x:row r="102" ht="27.75" customHeight="1">
      <x:c r="B102" s="126"/>
      <x:c r="C102" s="116"/>
      <x:c r="D102" s="115" t="s">
        <x:v>7</x:v>
      </x:c>
      <x:c r="E102" s="140">
        <x:v>0</x:v>
      </x:c>
      <x:c r="F102" s="140">
        <x:v>0</x:v>
      </x:c>
      <x:c r="G102" s="140">
        <x:v>0</x:v>
      </x:c>
      <x:c r="H102" s="140">
        <x:v>0</x:v>
      </x:c>
      <x:c r="I102" s="140">
        <x:v>0</x:v>
      </x:c>
      <x:c r="J102" s="140">
        <x:v>1</x:v>
      </x:c>
      <x:c r="K102" s="140">
        <x:v>3</x:v>
      </x:c>
      <x:c r="L102" s="140">
        <x:v>0</x:v>
      </x:c>
      <x:c r="M102" s="141">
        <x:v>0</x:v>
      </x:c>
      <x:c r="O102" s="30" t="str">
        <x:f>$O$10</x:f>
        <x:v>Significatività 5%</x:v>
      </x:c>
      <x:c r="P102" s="35"/>
    </x:row>
    <x:row r="103" ht="27.75" customHeight="1">
      <x:c r="B103" s="126"/>
      <x:c r="C103" s="116"/>
      <x:c r="D103" s="115" t="s">
        <x:v>8</x:v>
      </x:c>
      <x:c r="E103" s="140">
        <x:v>0</x:v>
      </x:c>
      <x:c r="F103" s="140">
        <x:v>0</x:v>
      </x:c>
      <x:c r="G103" s="140">
        <x:v>0</x:v>
      </x:c>
      <x:c r="H103" s="140">
        <x:v>0</x:v>
      </x:c>
      <x:c r="I103" s="140">
        <x:v>0</x:v>
      </x:c>
      <x:c r="J103" s="140">
        <x:v>0</x:v>
      </x:c>
      <x:c r="K103" s="140">
        <x:v>3</x:v>
      </x:c>
      <x:c r="L103" s="140">
        <x:v>0</x:v>
      </x:c>
      <x:c r="M103" s="141">
        <x:v>0</x:v>
      </x:c>
    </x:row>
    <x:row r="104" ht="27.75" customHeight="1">
      <x:c r="B104" s="126"/>
      <x:c r="C104" s="116"/>
      <x:c r="D104" s="115" t="s">
        <x:v>9</x:v>
      </x:c>
      <x:c r="E104" s="140">
        <x:v>0</x:v>
      </x:c>
      <x:c r="F104" s="140">
        <x:v>0</x:v>
      </x:c>
      <x:c r="G104" s="140">
        <x:v>0</x:v>
      </x:c>
      <x:c r="H104" s="140">
        <x:v>0</x:v>
      </x:c>
      <x:c r="I104" s="140">
        <x:v>0</x:v>
      </x:c>
      <x:c r="J104" s="140">
        <x:v>1</x:v>
      </x:c>
      <x:c r="K104" s="140">
        <x:v>3</x:v>
      </x:c>
      <x:c r="L104" s="140">
        <x:v>0</x:v>
      </x:c>
      <x:c r="M104" s="141">
        <x:v>0</x:v>
      </x:c>
    </x:row>
    <x:row r="105" ht="27.75" customHeight="1">
      <x:c r="B105" s="126"/>
      <x:c r="C105" s="116"/>
      <x:c r="D105" s="115" t="s">
        <x:v>10</x:v>
      </x:c>
      <x:c r="E105" s="140">
        <x:v>0</x:v>
      </x:c>
      <x:c r="F105" s="140">
        <x:v>0</x:v>
      </x:c>
      <x:c r="G105" s="140">
        <x:v>0</x:v>
      </x:c>
      <x:c r="H105" s="140">
        <x:v>0</x:v>
      </x:c>
      <x:c r="I105" s="140">
        <x:v>0</x:v>
      </x:c>
      <x:c r="J105" s="140">
        <x:v>0</x:v>
      </x:c>
      <x:c r="K105" s="140">
        <x:v>3</x:v>
      </x:c>
      <x:c r="L105" s="140">
        <x:v>0</x:v>
      </x:c>
      <x:c r="M105" s="141">
        <x:v>0</x:v>
      </x:c>
    </x:row>
    <x:row r="106" ht="27.75" customHeight="1">
      <x:c r="B106" s="126"/>
      <x:c r="C106" s="135"/>
      <x:c r="D106" s="136" t="s">
        <x:v>11</x:v>
      </x:c>
      <x:c r="E106" s="140">
        <x:v>0</x:v>
      </x:c>
      <x:c r="F106" s="140">
        <x:v>0</x:v>
      </x:c>
      <x:c r="G106" s="140">
        <x:v>0</x:v>
      </x:c>
      <x:c r="H106" s="140">
        <x:v>0</x:v>
      </x:c>
      <x:c r="I106" s="140">
        <x:v>0</x:v>
      </x:c>
      <x:c r="J106" s="140">
        <x:v>0</x:v>
      </x:c>
      <x:c r="K106" s="140">
        <x:v>3</x:v>
      </x:c>
      <x:c r="L106" s="140">
        <x:v>0</x:v>
      </x:c>
      <x:c r="M106" s="141">
        <x:v>0</x:v>
      </x:c>
    </x:row>
    <x:row r="107" ht="27.75" customHeight="1">
      <x:c r="B107" s="117"/>
      <x:c r="C107" s="129"/>
      <x:c r="D107" s="129" t="s">
        <x:v>12</x:v>
      </x:c>
      <x:c r="E107" s="142"/>
      <x:c r="F107" s="142"/>
      <x:c r="G107" s="142"/>
      <x:c r="H107" s="142"/>
      <x:c r="I107" s="142"/>
      <x:c r="J107" s="142"/>
      <x:c r="K107" s="142"/>
      <x:c r="L107" s="142"/>
      <x:c r="M107" s="143"/>
    </x:row>
    <x:row r="108" ht="27.75" customHeight="1">
      <x:c r="B108" s="117"/>
      <x:c r="C108" s="118"/>
      <x:c r="D108" s="118" t="s">
        <x:v>13</x:v>
      </x:c>
      <x:c r="E108" s="142"/>
      <x:c r="F108" s="142"/>
      <x:c r="G108" s="142"/>
      <x:c r="H108" s="142"/>
      <x:c r="I108" s="142"/>
      <x:c r="J108" s="142"/>
      <x:c r="K108" s="142"/>
      <x:c r="L108" s="142"/>
      <x:c r="M108" s="143"/>
    </x:row>
    <x:row r="109" ht="27.75" customHeight="1">
      <x:c r="B109" s="117"/>
      <x:c r="C109" s="118"/>
      <x:c r="D109" s="118" t="s">
        <x:v>14</x:v>
      </x:c>
      <x:c r="E109" s="142"/>
      <x:c r="F109" s="142"/>
      <x:c r="G109" s="142"/>
      <x:c r="H109" s="142"/>
      <x:c r="I109" s="142"/>
      <x:c r="J109" s="142"/>
      <x:c r="K109" s="142"/>
      <x:c r="L109" s="142"/>
      <x:c r="M109" s="143"/>
    </x:row>
    <x:row r="110" ht="27.75" customHeight="1">
      <x:c r="B110" s="117"/>
      <x:c r="C110" s="118"/>
      <x:c r="D110" s="118" t="s">
        <x:v>15</x:v>
      </x:c>
      <x:c r="E110" s="142"/>
      <x:c r="F110" s="142"/>
      <x:c r="G110" s="142"/>
      <x:c r="H110" s="142"/>
      <x:c r="I110" s="142"/>
      <x:c r="J110" s="142"/>
      <x:c r="K110" s="142"/>
      <x:c r="L110" s="142"/>
      <x:c r="M110" s="143"/>
    </x:row>
    <x:row r="111" ht="27.75" customHeight="1">
      <x:c r="B111" s="117"/>
      <x:c r="C111" s="118"/>
      <x:c r="D111" s="118" t="s">
        <x:v>16</x:v>
      </x:c>
      <x:c r="E111" s="142"/>
      <x:c r="F111" s="142"/>
      <x:c r="G111" s="142"/>
      <x:c r="H111" s="142"/>
      <x:c r="I111" s="142"/>
      <x:c r="J111" s="142"/>
      <x:c r="K111" s="142"/>
      <x:c r="L111" s="142"/>
      <x:c r="M111" s="143"/>
    </x:row>
    <x:row r="112" ht="27.75" customHeight="1">
      <x:c r="B112" s="117"/>
      <x:c r="C112" s="118"/>
      <x:c r="D112" s="118" t="s">
        <x:v>17</x:v>
      </x:c>
      <x:c r="E112" s="142"/>
      <x:c r="F112" s="142"/>
      <x:c r="G112" s="142"/>
      <x:c r="H112" s="142"/>
      <x:c r="I112" s="142"/>
      <x:c r="J112" s="142"/>
      <x:c r="K112" s="142"/>
      <x:c r="L112" s="142"/>
      <x:c r="M112" s="143"/>
    </x:row>
    <x:row r="113" ht="27.75" customHeight="1">
      <x:c r="B113" s="117"/>
      <x:c r="C113" s="118"/>
      <x:c r="D113" s="118" t="s">
        <x:v>18</x:v>
      </x:c>
      <x:c r="E113" s="142"/>
      <x:c r="F113" s="142"/>
      <x:c r="G113" s="142"/>
      <x:c r="H113" s="142"/>
      <x:c r="I113" s="142"/>
      <x:c r="J113" s="142"/>
      <x:c r="K113" s="142"/>
      <x:c r="L113" s="142"/>
      <x:c r="M113" s="143"/>
    </x:row>
    <x:row r="114" ht="27.75" customHeight="1">
      <x:c r="B114" s="117"/>
      <x:c r="C114" s="118"/>
      <x:c r="D114" s="118" t="s">
        <x:v>19</x:v>
      </x:c>
      <x:c r="E114" s="142"/>
      <x:c r="F114" s="142"/>
      <x:c r="G114" s="142"/>
      <x:c r="H114" s="142"/>
      <x:c r="I114" s="142"/>
      <x:c r="J114" s="142"/>
      <x:c r="K114" s="142"/>
      <x:c r="L114" s="142"/>
      <x:c r="M114" s="143"/>
    </x:row>
    <x:row r="115" ht="27.75" customHeight="1">
      <x:c r="B115" s="117"/>
      <x:c r="C115" s="118"/>
      <x:c r="D115" s="118" t="s">
        <x:v>20</x:v>
      </x:c>
      <x:c r="E115" s="142"/>
      <x:c r="F115" s="142"/>
      <x:c r="G115" s="142"/>
      <x:c r="H115" s="142"/>
      <x:c r="I115" s="142"/>
      <x:c r="J115" s="142"/>
      <x:c r="K115" s="142"/>
      <x:c r="L115" s="142"/>
      <x:c r="M115" s="143"/>
    </x:row>
    <x:row r="116" ht="27.75" customHeight="1">
      <x:c r="B116" s="117"/>
      <x:c r="C116" s="118"/>
      <x:c r="D116" s="118" t="s">
        <x:v>21</x:v>
      </x:c>
      <x:c r="E116" s="142"/>
      <x:c r="F116" s="142"/>
      <x:c r="G116" s="142"/>
      <x:c r="H116" s="142"/>
      <x:c r="I116" s="142"/>
      <x:c r="J116" s="142"/>
      <x:c r="K116" s="142"/>
      <x:c r="L116" s="142"/>
      <x:c r="M116" s="143"/>
    </x:row>
    <x:row r="117" ht="27.75" customHeight="1">
      <x:c r="B117" s="119"/>
      <x:c r="C117" s="120"/>
      <x:c r="D117" s="120" t="s">
        <x:v>22</x:v>
      </x:c>
      <x:c r="E117" s="142"/>
      <x:c r="F117" s="142"/>
      <x:c r="G117" s="142"/>
      <x:c r="H117" s="142"/>
      <x:c r="I117" s="142"/>
      <x:c r="J117" s="142"/>
      <x:c r="K117" s="142"/>
      <x:c r="L117" s="142"/>
      <x:c r="M117" s="143"/>
    </x:row>
    <x:row r="118" ht="27.75" customHeight="1">
      <x:c r="B118" s="146"/>
      <x:c r="C118" s="147"/>
      <x:c r="D118" s="147" t="s">
        <x:v>23</x:v>
      </x:c>
      <x:c r="E118" s="148"/>
      <x:c r="F118" s="148"/>
      <x:c r="G118" s="148"/>
      <x:c r="H118" s="148"/>
      <x:c r="I118" s="148"/>
      <x:c r="J118" s="148"/>
      <x:c r="K118" s="148"/>
      <x:c r="L118" s="148"/>
      <x:c r="M118" s="149"/>
    </x:row>
  </x:sheetData>
  <x:pageMargins left="0.7" right="0.7" top="0.75" bottom="0.75" header="0.3" footer="0.3"/>
  <x:drawing xmlns:r="http://schemas.openxmlformats.org/officeDocument/2006/relationships" r:id="Rc76f8ffd9712420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1.4609375" defaultRowHeight="14.25"/>
  <x:cols>
    <x:col min="1" max="1" width="21.171875" style="30" customWidth="1"/>
    <x:col min="2" max="2" width="20.49609375" style="81" customWidth="1"/>
    <x:col min="3" max="3" width="15.37109375" style="30" customWidth="1"/>
    <x:col min="4" max="4" width="28.453125" style="30" customWidth="1"/>
    <x:col min="5" max="5" width="27.10546875" style="30" customWidth="1"/>
    <x:col min="6" max="6" width="30.74609375" style="30" customWidth="1"/>
    <x:col min="7" max="7" width="36.54296875" style="30" customWidth="1"/>
    <x:col min="8" max="8" width="9.84375" style="30" customWidth="1"/>
    <x:col min="9" max="9" width="28.85546875" style="30" customWidth="1"/>
    <x:col min="10" max="10" width="11.8671875" style="30" customWidth="1"/>
    <x:col min="11" max="11" width="13.6171875" style="30" customWidth="1"/>
    <x:col min="12" max="12" width="14.42578125" style="30" customWidth="1"/>
    <x:col min="13" max="13" width="3.234375" style="52" customWidth="1"/>
    <x:col min="14" max="14" width="28.18359375" style="30" customWidth="1"/>
    <x:col min="15" max="15" width="2.828125" style="30" customWidth="1"/>
    <x:col min="16" max="16" width="39.51171875" style="30" customWidth="1"/>
    <x:col min="17" max="16384" width="11.4609375" style="30" customWidth="0"/>
  </x:cols>
  <x:sheetData>
    <x:row r="5" ht="27.75" customHeight="1">
      <x:c r="A5" s="28"/>
      <x:c r="B5" s="96"/>
      <x:c r="C5" s="67"/>
      <x:c r="D5" s="67"/>
      <x:c r="E5" s="67"/>
      <x:c r="F5" s="67"/>
      <x:c r="G5" s="67"/>
      <x:c r="H5" s="67"/>
      <x:c r="I5" s="67"/>
      <x:c r="J5" s="67"/>
      <x:c r="K5" s="67"/>
      <x:c r="L5" s="67"/>
    </x:row>
    <x:row r="6" s="92" customFormat="1" ht="27.75" customHeight="1">
      <x:c r="A6" s="87"/>
      <x:c r="B6" s="311" t="str">
        <x:f>'INPUT Data'!C6</x:f>
        <x:v>Campione</x:v>
      </x:c>
      <x:c r="C6" s="312"/>
      <x:c r="D6" s="312" t="str">
        <x:f>'INPUT Data'!E6</x:f>
        <x:v>Riscaldo / Morchia</x:v>
      </x:c>
      <x:c r="E6" s="312" t="str">
        <x:f>'INPUT Data'!F6</x:f>
        <x:v>Muffa / Umidità / Terra</x:v>
      </x:c>
      <x:c r="F6" s="312" t="str">
        <x:f>'INPUT Data'!G6</x:f>
        <x:v>Avvinato / Inacetito / Acido / Agro</x:v>
      </x:c>
      <x:c r="G6" s="312" t="str">
        <x:f>'INPUT Data'!H6</x:f>
        <x:v>Olive gelate (legno umido)</x:v>
      </x:c>
      <x:c r="H6" s="312" t="str">
        <x:f>'INPUT Data'!I6</x:f>
        <x:v>Rancido</x:v>
      </x:c>
      <x:c r="I6" s="312" t="str">
        <x:f>'INPUT Data'!J6</x:f>
        <x:v>Altro attributo negativo</x:v>
      </x:c>
      <x:c r="J6" s="312" t="str">
        <x:f>'INPUT Data'!K6</x:f>
        <x:v>Fruttato</x:v>
      </x:c>
      <x:c r="K6" s="312" t="str">
        <x:f>'INPUT Data'!L6</x:f>
        <x:v>Amaro</x:v>
      </x:c>
      <x:c r="L6" s="313" t="str">
        <x:f>'INPUT Data'!M6</x:f>
        <x:v>Piccante</x:v>
      </x:c>
      <x:c r="M6" s="91"/>
      <x:c r="O6" s="93"/>
    </x:row>
    <x:row r="7" ht="27.75" customHeight="1">
      <x:c r="A7" s="28" t="str">
        <x:f>'INPUT Data'!A6</x:f>
        <x:v>Campione 1</x:v>
      </x:c>
      <x:c r="B7" s="97" t="n">
        <x:f>'INPUT Data'!C7</x:f>
        <x:v>0</x:v>
      </x:c>
      <x:c r="C7" s="57" t="str">
        <x:v>Mediana</x:v>
      </x:c>
      <x:c r="D7" s="58" t="n">
        <x:f>MEDIAN('INPUT Data'!E7:'INPUT Data'!E26)</x:f>
        <x:v>0</x:v>
      </x:c>
      <x:c r="E7" s="58" t="n">
        <x:f>MEDIAN('INPUT Data'!F7:'INPUT Data'!F26)</x:f>
        <x:v>0</x:v>
      </x:c>
      <x:c r="F7" s="58" t="n">
        <x:f>MEDIAN('INPUT Data'!G7:'INPUT Data'!G26)</x:f>
        <x:v>0</x:v>
      </x:c>
      <x:c r="G7" s="58" t="n">
        <x:f>MEDIAN('INPUT Data'!H7:'INPUT Data'!H26)</x:f>
        <x:v>0</x:v>
      </x:c>
      <x:c r="H7" s="58" t="n">
        <x:f>MEDIAN('INPUT Data'!I7:'INPUT Data'!I26)</x:f>
        <x:v>5</x:v>
      </x:c>
      <x:c r="I7" s="58" t="n">
        <x:f>MEDIAN('INPUT Data'!J7:'INPUT Data'!J26)</x:f>
        <x:v>0</x:v>
      </x:c>
      <x:c r="J7" s="58" t="n">
        <x:f>MEDIAN('INPUT Data'!K7:'INPUT Data'!K26)</x:f>
        <x:v>2.85</x:v>
      </x:c>
      <x:c r="K7" s="58" t="n">
        <x:f>MEDIAN('INPUT Data'!L7:'INPUT Data'!L26)</x:f>
        <x:v>2.55</x:v>
      </x:c>
      <x:c r="L7" s="82" t="n">
        <x:f>MEDIAN('INPUT Data'!M7:'INPUT Data'!M26)</x:f>
        <x:v>3.1</x:v>
      </x:c>
      <x:c r="M7" s="55" t="n">
        <x:f>MAX(D7:I7)</x:f>
        <x:v>5</x:v>
      </x:c>
      <x:c r="O7" s="51"/>
    </x:row>
    <x:row r="8" ht="27.75" customHeight="1">
      <x:c r="A8" s="28"/>
      <x:c r="B8" s="97"/>
      <x:c r="C8" s="102" t="str">
        <x:v>Media</x:v>
      </x:c>
      <x:c r="D8" s="103" t="n">
        <x:f>AVERAGE('INPUT Data'!E7:'INPUT Data'!E26)</x:f>
        <x:v>0</x:v>
      </x:c>
      <x:c r="E8" s="103" t="n">
        <x:f>AVERAGE('INPUT Data'!F7:'INPUT Data'!F26)</x:f>
        <x:v>0</x:v>
      </x:c>
      <x:c r="F8" s="103" t="n">
        <x:f>AVERAGE('INPUT Data'!G7:'INPUT Data'!G26)</x:f>
        <x:v>0.2125</x:v>
      </x:c>
      <x:c r="G8" s="103" t="n">
        <x:f>AVERAGE('INPUT Data'!H7:'INPUT Data'!H26)</x:f>
        <x:v>0</x:v>
      </x:c>
      <x:c r="H8" s="103" t="n">
        <x:f>AVERAGE('INPUT Data'!I7:'INPUT Data'!I26)</x:f>
        <x:v>5.625</x:v>
      </x:c>
      <x:c r="I8" s="103" t="n">
        <x:f>AVERAGE('INPUT Data'!J7:'INPUT Data'!J26)</x:f>
        <x:v>0.0875</x:v>
      </x:c>
      <x:c r="J8" s="103" t="n">
        <x:f>AVERAGE('INPUT Data'!K7:'INPUT Data'!K26)</x:f>
        <x:v>2.2624999999999997</x:v>
      </x:c>
      <x:c r="K8" s="103" t="n">
        <x:f>AVERAGE('INPUT Data'!L7:'INPUT Data'!L26)</x:f>
        <x:v>2.1500000000000004</x:v>
      </x:c>
      <x:c r="L8" s="103" t="n">
        <x:f>AVERAGE('INPUT Data'!M7:'INPUT Data'!M26)</x:f>
        <x:v>2.525</x:v>
      </x:c>
      <x:c r="M8" s="55"/>
      <x:c r="O8" s="51"/>
    </x:row>
    <x:row r="9" ht="27.75" customHeight="1">
      <x:c r="A9" s="28"/>
      <x:c r="B9" s="97"/>
      <x:c r="C9" s="105" t="str">
        <x:v>Deviazione standard</x:v>
      </x:c>
      <x:c r="D9" s="103" t="n">
        <x:f>_xlfn.STDEV.S('INPUT Data'!E7:'INPUT Data'!E26)</x:f>
        <x:v>0</x:v>
      </x:c>
      <x:c r="E9" s="103" t="n">
        <x:f>_xlfn.STDEV.S('INPUT Data'!F7:'INPUT Data'!F26)</x:f>
        <x:v>0</x:v>
      </x:c>
      <x:c r="F9" s="103" t="n">
        <x:f>_xlfn.STDEV.S('INPUT Data'!G7:'INPUT Data'!G26)</x:f>
        <x:v>0.6010407640085652</x:v>
      </x:c>
      <x:c r="G9" s="103" t="n">
        <x:f>_xlfn.STDEV.S('INPUT Data'!H7:'INPUT Data'!H26)</x:f>
        <x:v>0</x:v>
      </x:c>
      <x:c r="H9" s="103" t="n">
        <x:f>_xlfn.STDEV.S('INPUT Data'!I7:'INPUT Data'!I26)</x:f>
        <x:v>0.9161253813129043</x:v>
      </x:c>
      <x:c r="I9" s="103" t="n">
        <x:f>_xlfn.STDEV.S('INPUT Data'!J7:'INPUT Data'!J26)</x:f>
        <x:v>0.2474873734152916</x:v>
      </x:c>
      <x:c r="J9" s="103"/>
      <x:c r="K9" s="103"/>
      <x:c r="L9" s="104"/>
      <x:c r="M9" s="55"/>
      <x:c r="O9" s="51"/>
    </x:row>
    <x:row r="10" ht="27.75" customHeight="1">
      <x:c r="A10" s="28"/>
      <x:c r="B10" s="97"/>
      <x:c r="C10" s="59" t="str">
        <x:v>Intervallo interquartile</x:v>
      </x:c>
      <x:c r="D10" s="60" t="n">
        <x:f>PERCENTILE('INPUT Data'!E7:'INPUT Data'!E26,0.75)-PERCENTILE('INPUT Data'!E7:'INPUT Data'!E26,0.25)</x:f>
        <x:v>0</x:v>
      </x:c>
      <x:c r="E10" s="60" t="n">
        <x:f>PERCENTILE('INPUT Data'!F7:'INPUT Data'!F26,0.75)-PERCENTILE('INPUT Data'!F7:'INPUT Data'!F26,0.25)</x:f>
        <x:v>0</x:v>
      </x:c>
      <x:c r="F10" s="60" t="n">
        <x:f>PERCENTILE('INPUT Data'!G7:'INPUT Data'!G26,0.75)-PERCENTILE('INPUT Data'!G7:'INPUT Data'!G26,0.25)</x:f>
        <x:v>0</x:v>
      </x:c>
      <x:c r="G10" s="60" t="n">
        <x:f>PERCENTILE('INPUT Data'!H7:'INPUT Data'!H26,0.75)-PERCENTILE('INPUT Data'!H7:'INPUT Data'!H26,0.25)</x:f>
        <x:v>0</x:v>
      </x:c>
      <x:c r="H10" s="60" t="n">
        <x:f>PERCENTILE('INPUT Data'!I7:'INPUT Data'!I26,0.75)-PERCENTILE('INPUT Data'!I7:'INPUT Data'!I26,0.25)</x:f>
        <x:v>5</x:v>
      </x:c>
      <x:c r="I10" s="60" t="n">
        <x:f>PERCENTILE('INPUT Data'!J7:'INPUT Data'!J26,0.75)-PERCENTILE('INPUT Data'!J7:'INPUT Data'!J26,0.25)</x:f>
        <x:v>0</x:v>
      </x:c>
      <x:c r="J10" s="60" t="n">
        <x:f>PERCENTILE('INPUT Data'!K7:'INPUT Data'!K26,0.75)-PERCENTILE('INPUT Data'!K7:'INPUT Data'!K26,0.25)</x:f>
        <x:v>2.4</x:v>
      </x:c>
      <x:c r="K10" s="60" t="n">
        <x:f>PERCENTILE('INPUT Data'!L7:'INPUT Data'!L26,0.75)-PERCENTILE('INPUT Data'!L7:'INPUT Data'!L26,0.25)</x:f>
        <x:v>1.95</x:v>
      </x:c>
      <x:c r="L10" s="83" t="n">
        <x:f>PERCENTILE('INPUT Data'!M7:'INPUT Data'!M26,0.75)-PERCENTILE('INPUT Data'!M7:'INPUT Data'!M26,0.25)</x:f>
        <x:v>2.325</x:v>
      </x:c>
      <x:c r="O10" s="51"/>
    </x:row>
    <x:row r="11" ht="27.75" customHeight="1">
      <x:c r="A11" s="28"/>
      <x:c r="B11" s="97"/>
      <x:c r="C11" s="59" t="s">
        <x:v>25</x:v>
      </x:c>
      <x:c r="D11" s="60" t="n">
        <x:f>(1.25/1.35)*(D10/SQRT(COUNTA('INPUT Data'!E7:E26)))</x:f>
        <x:v>0</x:v>
      </x:c>
      <x:c r="E11" s="60" t="n">
        <x:f>(1.25/1.35)*(E10/SQRT(COUNTA('INPUT Data'!F7:F26)))</x:f>
        <x:v>0</x:v>
      </x:c>
      <x:c r="F11" s="60" t="n">
        <x:f>(1.25/1.35)*(F10/SQRT(COUNTA('INPUT Data'!G7:G26)))</x:f>
        <x:v>0</x:v>
      </x:c>
      <x:c r="G11" s="60" t="n">
        <x:f>(1.25/1.35)*(G10/SQRT(COUNTA('INPUT Data'!H7:H26)))</x:f>
        <x:v>0</x:v>
      </x:c>
      <x:c r="H11" s="60" t="n">
        <x:f>(1.25/1.35)*(H10/SQRT(COUNTA('INPUT Data'!I7:I26)))</x:f>
        <x:v>1.6368212527466375</x:v>
      </x:c>
      <x:c r="I11" s="60" t="n">
        <x:f>(1.25/1.35)*(I10/SQRT(COUNTA('INPUT Data'!J7:J26)))</x:f>
        <x:v>0</x:v>
      </x:c>
      <x:c r="J11" s="60" t="n">
        <x:f>(1.25/1.35)*(J10/SQRT(COUNTA('INPUT Data'!K7:K26)))</x:f>
        <x:v>0.785674201318386</x:v>
      </x:c>
      <x:c r="K11" s="60" t="n">
        <x:f>(1.25/1.35)*(K10/SQRT(COUNTA('INPUT Data'!L7:L26)))</x:f>
        <x:v>0.6383602885711886</x:v>
      </x:c>
      <x:c r="L11" s="83" t="n">
        <x:f>(1.25/1.35)*(L10/SQRT(COUNTA('INPUT Data'!M7:M26)))</x:f>
        <x:v>0.7611218825271865</x:v>
      </x:c>
      <x:c r="O11" s="51"/>
    </x:row>
    <x:row r="12" ht="27.75" customHeight="1">
      <x:c r="A12" s="28"/>
      <x:c r="B12" s="97"/>
      <x:c r="C12" s="57" t="s">
        <x:v>26</x:v>
      </x:c>
      <x:c r="D12" s="61" t="str">
        <x:f>IFERROR((D11/D7)*100,"")</x:f>
      </x:c>
      <x:c r="E12" s="61" t="str">
        <x:f t="shared" ref="E12:L12" si="0">IFERROR((E11/E7)*100,"")</x:f>
      </x:c>
      <x:c r="F12" s="61" t="str">
        <x:f t="shared" si="0"/>
      </x:c>
      <x:c r="G12" s="61" t="str">
        <x:f t="shared" si="0"/>
      </x:c>
      <x:c r="H12" s="61">
        <x:f t="shared" si="0"/>
        <x:v>8.1841062637331881</x:v>
      </x:c>
      <x:c r="I12" s="61" t="str">
        <x:f t="shared" si="0"/>
      </x:c>
      <x:c r="J12" s="61">
        <x:f t="shared" si="0"/>
        <x:v>14.645242787733073</x:v>
      </x:c>
      <x:c r="K12" s="61">
        <x:f t="shared" si="0"/>
        <x:v>19.256720620548673</x:v>
      </x:c>
      <x:c r="L12" s="61">
        <x:f t="shared" si="0"/>
        <x:v>21.912284512575951</x:v>
      </x:c>
      <x:c r="O12" s="51"/>
    </x:row>
    <x:row r="13" ht="27.75" customHeight="1">
      <x:c r="A13" s="28"/>
      <x:c r="B13" s="97"/>
      <x:c r="C13" s="59" t="str">
        <x:v>Limite superiore IC</x:v>
      </x:c>
      <x:c r="D13" s="62" t="n">
        <x:f>D7+1.96*D11</x:f>
        <x:v>0</x:v>
      </x:c>
      <x:c r="E13" s="62" t="n">
        <x:f t="shared" ref="E13:L13" si="1">E7+1.96*E11</x:f>
        <x:v>0</x:v>
      </x:c>
      <x:c r="F13" s="62">
        <x:f t="shared" si="1"/>
        <x:v>0</x:v>
      </x:c>
      <x:c r="G13" s="62">
        <x:f t="shared" si="1"/>
        <x:v>0</x:v>
      </x:c>
      <x:c r="H13" s="62">
        <x:f t="shared" si="1"/>
        <x:v>5.802042413845852</x:v>
      </x:c>
      <x:c r="I13" s="62">
        <x:f t="shared" si="1"/>
        <x:v>0</x:v>
      </x:c>
      <x:c r="J13" s="62">
        <x:f t="shared" si="1"/>
        <x:v>3.6680832621227695</x:v>
      </x:c>
      <x:c r="K13" s="62">
        <x:f t="shared" si="1"/>
        <x:v>3.5124508966150225</x:v>
      </x:c>
      <x:c r="L13" s="84">
        <x:f t="shared" si="1"/>
        <x:v>4.4313904069841143</x:v>
      </x:c>
      <x:c r="O13" s="51"/>
    </x:row>
    <x:row r="14" ht="27.75" customHeight="1">
      <x:c r="A14" s="28"/>
      <x:c r="B14" s="97"/>
      <x:c r="C14" s="59" t="str">
        <x:v>Limite inferiore IC</x:v>
      </x:c>
      <x:c r="D14" s="62" t="n">
        <x:f>D7-1.96*D11</x:f>
        <x:v>0</x:v>
      </x:c>
      <x:c r="E14" s="62" t="n">
        <x:f t="shared" ref="E14:L14" si="2">E7-1.96*E11</x:f>
        <x:v>0</x:v>
      </x:c>
      <x:c r="F14" s="62">
        <x:f t="shared" si="2"/>
        <x:v>0</x:v>
      </x:c>
      <x:c r="G14" s="62">
        <x:f t="shared" si="2"/>
        <x:v>0</x:v>
      </x:c>
      <x:c r="H14" s="62">
        <x:f t="shared" si="2"/>
        <x:v>4.197957586154148</x:v>
      </x:c>
      <x:c r="I14" s="62">
        <x:f t="shared" si="2"/>
        <x:v>0</x:v>
      </x:c>
      <x:c r="J14" s="62">
        <x:f t="shared" si="2"/>
        <x:v>2.0319167378772307</x:v>
      </x:c>
      <x:c r="K14" s="62">
        <x:f t="shared" si="2"/>
        <x:v>1.5875491033849771</x:v>
      </x:c>
      <x:c r="L14" s="84">
        <x:f t="shared" si="2"/>
        <x:v>1.7686095930158854</x:v>
      </x:c>
      <x:c r="O14" s="51"/>
    </x:row>
    <x:row r="15" ht="27.75" customHeight="1">
      <x:c r="A15" s="28"/>
      <x:c r="B15" s="98"/>
      <x:c r="C15" s="30" t="s">
        <x:v>27</x:v>
      </x:c>
      <x:c r="D15" s="56"/>
      <x:c r="E15" s="56"/>
      <x:c r="F15" s="56"/>
      <x:c r="G15" s="56"/>
      <x:c r="H15" s="56"/>
      <x:c r="I15" s="56"/>
      <x:c r="J15" s="56"/>
      <x:c r="K15" s="56"/>
      <x:c r="L15" s="107"/>
      <x:c r="O15" s="51"/>
    </x:row>
    <x:row r="16" ht="27.75" customHeight="1">
      <x:c r="A16" s="28"/>
      <x:c r="B16" s="98"/>
      <x:c r="L16" s="85"/>
      <x:c r="O16" s="51"/>
    </x:row>
    <x:row r="17" ht="27.75" customHeight="1">
      <x:c r="A17" s="28"/>
      <x:c r="B17" s="99"/>
      <x:c r="C17" s="66" t="str">
        <x:f>IF($M7&gt;6,"Lampant",IF($M7&gt;3.5,"Ordinary",IF($M7&gt;0,"Virgin","Extra Virgin")))</x:f>
        <x:v>Ordinary</x:v>
      </x:c>
      <x:c r="D17" s="66" t="str">
        <x:f>IF($M7&gt;3.5,"Lampant",IF($M7&gt;0,"Virgin","Extra Virgin"))</x:f>
        <x:v>Lampant</x:v>
      </x:c>
      <x:c r="E17" s="63"/>
      <x:c r="F17" s="63"/>
      <x:c r="G17" s="63"/>
      <x:c r="H17" s="63"/>
      <x:c r="I17" s="63"/>
      <x:c r="J17" s="63"/>
      <x:c r="K17" s="64"/>
      <x:c r="L17" s="86"/>
      <x:c r="N17" s="68" t="str">
        <x:f>IF($J7=0,"Ordinary",$C17)</x:f>
        <x:v>Ordinary</x:v>
      </x:c>
      <x:c r="O17" s="51"/>
      <x:c r="P17" s="69" t="str">
        <x:f>IF($J7=0,"Lampant",$D17)</x:f>
        <x:v>Lampant</x:v>
      </x:c>
    </x:row>
    <x:row r="18" ht="27.75" customHeight="1">
      <x:c r="A18" s="28"/>
      <x:c r="C18" s="100"/>
      <x:c r="D18" s="100"/>
      <x:c r="K18" s="101"/>
      <x:c r="N18" s="101"/>
      <x:c r="O18" s="51"/>
      <x:c r="P18" s="101"/>
    </x:row>
    <x:row r="19" ht="27.75" customHeight="1">
      <x:c r="A19" s="28"/>
      <x:c r="B19" s="96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O19" s="51"/>
    </x:row>
    <x:row r="20" s="92" customFormat="1" ht="27.75" customHeight="1">
      <x:c r="A20" s="87"/>
      <x:c r="B20" s="88" t="str">
        <x:f>B6</x:f>
        <x:v>Campione</x:v>
      </x:c>
      <x:c r="C20" s="89"/>
      <x:c r="D20" s="89" t="str">
        <x:f t="shared" ref="D20:L20" si="3">D6</x:f>
        <x:v>Riscaldo / Morchia</x:v>
      </x:c>
      <x:c r="E20" s="89" t="str">
        <x:f t="shared" si="3"/>
        <x:v>Muffa / Umidità / Terra</x:v>
      </x:c>
      <x:c r="F20" s="89" t="str">
        <x:f t="shared" si="3"/>
        <x:v>Avvinato / Inacetito / Acido / Agro</x:v>
      </x:c>
      <x:c r="G20" s="89" t="str">
        <x:f t="shared" si="3"/>
        <x:v>Olive gelate (legno umido)</x:v>
      </x:c>
      <x:c r="H20" s="89" t="str">
        <x:f t="shared" si="3"/>
        <x:v>Rancido</x:v>
      </x:c>
      <x:c r="I20" s="89" t="str">
        <x:f t="shared" si="3"/>
        <x:v>Altro attributo negativo</x:v>
      </x:c>
      <x:c r="J20" s="89" t="str">
        <x:f t="shared" si="3"/>
        <x:v>Fruttato</x:v>
      </x:c>
      <x:c r="K20" s="89" t="str">
        <x:f t="shared" si="3"/>
        <x:v>Amaro</x:v>
      </x:c>
      <x:c r="L20" s="90" t="str">
        <x:f t="shared" si="3"/>
        <x:v>Piccante</x:v>
      </x:c>
      <x:c r="M20" s="91"/>
      <x:c r="O20" s="93"/>
    </x:row>
    <x:row r="21" ht="27.75" customHeight="1">
      <x:c r="A21" s="28" t="str">
        <x:f>'INPUT Data'!A29</x:f>
        <x:v>Campione 2</x:v>
      </x:c>
      <x:c r="B21" s="97" t="n">
        <x:f>'INPUT Data'!C30</x:f>
        <x:v>0</x:v>
      </x:c>
      <x:c r="C21" s="57" t="str">
        <x:f>C7</x:f>
        <x:v>Mediana</x:v>
      </x:c>
      <x:c r="D21" s="58" t="n">
        <x:f>MEDIAN('INPUT Data'!E30:'INPUT Data'!E49)</x:f>
        <x:v>0</x:v>
      </x:c>
      <x:c r="E21" s="58" t="n">
        <x:f>MEDIAN('INPUT Data'!F30:'INPUT Data'!F49)</x:f>
        <x:v>0</x:v>
      </x:c>
      <x:c r="F21" s="58" t="n">
        <x:f>MEDIAN('INPUT Data'!G30:'INPUT Data'!G49)</x:f>
        <x:v>0</x:v>
      </x:c>
      <x:c r="G21" s="58" t="n">
        <x:f>MEDIAN('INPUT Data'!H30:'INPUT Data'!H49)</x:f>
        <x:v>4</x:v>
      </x:c>
      <x:c r="H21" s="58" t="n">
        <x:f>MEDIAN('INPUT Data'!I30:'INPUT Data'!I49)</x:f>
        <x:v>0</x:v>
      </x:c>
      <x:c r="I21" s="58" t="n">
        <x:f>MEDIAN('INPUT Data'!J30:'INPUT Data'!J49)</x:f>
        <x:v>0</x:v>
      </x:c>
      <x:c r="J21" s="58" t="n">
        <x:f>MEDIAN('INPUT Data'!K30:'INPUT Data'!K49)</x:f>
        <x:v>3</x:v>
      </x:c>
      <x:c r="K21" s="58" t="n">
        <x:f>MEDIAN('INPUT Data'!L30:'INPUT Data'!L49)</x:f>
        <x:v>0</x:v>
      </x:c>
      <x:c r="L21" s="82" t="n">
        <x:f>MEDIAN('INPUT Data'!M30:'INPUT Data'!M49)</x:f>
        <x:v>0</x:v>
      </x:c>
      <x:c r="M21" s="55" t="n">
        <x:f>MAX(D21:I21)</x:f>
        <x:v>4</x:v>
      </x:c>
      <x:c r="O21" s="51"/>
    </x:row>
    <x:row r="22" ht="27.75" customHeight="1">
      <x:c r="A22" s="28"/>
      <x:c r="B22" s="106"/>
      <x:c r="C22" s="102" t="str">
        <x:v>Media</x:v>
      </x:c>
      <x:c r="D22" s="103" t="n">
        <x:f>AVERAGE('INPUT Data'!E30:'INPUT Data'!E49)</x:f>
        <x:v>0</x:v>
      </x:c>
      <x:c r="E22" s="103" t="n">
        <x:f>AVERAGE('INPUT Data'!F30:'INPUT Data'!F49)</x:f>
        <x:v>0</x:v>
      </x:c>
      <x:c r="F22" s="103" t="n">
        <x:f>AVERAGE('INPUT Data'!G30:'INPUT Data'!G49)</x:f>
        <x:v>0.125</x:v>
      </x:c>
      <x:c r="G22" s="103" t="n">
        <x:f>AVERAGE('INPUT Data'!H30:'INPUT Data'!H49)</x:f>
        <x:v>4</x:v>
      </x:c>
      <x:c r="H22" s="103" t="n">
        <x:f>AVERAGE('INPUT Data'!I30:'INPUT Data'!I49)</x:f>
        <x:v>0</x:v>
      </x:c>
      <x:c r="I22" s="103" t="n">
        <x:f>AVERAGE('INPUT Data'!J30:'INPUT Data'!J49)</x:f>
        <x:v>0.125</x:v>
      </x:c>
      <x:c r="J22" s="103" t="n">
        <x:f>AVERAGE('INPUT Data'!K30:'INPUT Data'!K49)</x:f>
        <x:v>3</x:v>
      </x:c>
      <x:c r="K22" s="103" t="n">
        <x:f>AVERAGE('INPUT Data'!L30:'INPUT Data'!L49)</x:f>
        <x:v>0</x:v>
      </x:c>
      <x:c r="L22" s="103" t="n">
        <x:f>AVERAGE('INPUT Data'!M30:'INPUT Data'!M49)</x:f>
        <x:v>0</x:v>
      </x:c>
      <x:c r="M22" s="55"/>
      <x:c r="O22" s="51"/>
    </x:row>
    <x:row r="23" ht="27.75" customHeight="1">
      <x:c r="A23" s="28"/>
      <x:c r="B23" s="106"/>
      <x:c r="C23" s="105" t="str">
        <x:v>Deviazione standard</x:v>
      </x:c>
      <x:c r="D23" s="103" t="n">
        <x:f>_xlfn.STDEV.S('INPUT Data'!E30:'INPUT Data'!E49)</x:f>
        <x:v>0</x:v>
      </x:c>
      <x:c r="E23" s="103" t="n">
        <x:f>_xlfn.STDEV.S('INPUT Data'!F30:'INPUT Data'!F49)</x:f>
        <x:v>0</x:v>
      </x:c>
      <x:c r="F23" s="103" t="n">
        <x:f>_xlfn.STDEV.S('INPUT Data'!G30:'INPUT Data'!G49)</x:f>
        <x:v>0.3535533905932738</x:v>
      </x:c>
      <x:c r="G23" s="103" t="n">
        <x:f>_xlfn.STDEV.S('INPUT Data'!H30:'INPUT Data'!H49)</x:f>
        <x:v>0</x:v>
      </x:c>
      <x:c r="H23" s="103" t="n">
        <x:f>_xlfn.STDEV.S('INPUT Data'!I30:'INPUT Data'!I49)</x:f>
        <x:v>0</x:v>
      </x:c>
      <x:c r="I23" s="103" t="n">
        <x:f>_xlfn.STDEV.S('INPUT Data'!J30:'INPUT Data'!J49)</x:f>
        <x:v>0.3535533905932738</x:v>
      </x:c>
      <x:c r="J23" s="103"/>
      <x:c r="K23" s="103"/>
      <x:c r="L23" s="103"/>
      <x:c r="M23" s="55"/>
      <x:c r="O23" s="51"/>
    </x:row>
    <x:row r="24" ht="27.75" customHeight="1">
      <x:c r="A24" s="28"/>
      <x:c r="B24" s="97"/>
      <x:c r="C24" s="59" t="str">
        <x:f t="shared" ref="C24:C29" si="4">C10</x:f>
        <x:v>Intervallo interquartile</x:v>
      </x:c>
      <x:c r="D24" s="60" t="n">
        <x:f>PERCENTILE('INPUT Data'!E30:'INPUT Data'!E49,0.75)-PERCENTILE('INPUT Data'!E30:'INPUT Data'!E49,0.25)</x:f>
        <x:v>0</x:v>
      </x:c>
      <x:c r="E24" s="60" t="n">
        <x:f>PERCENTILE('INPUT Data'!F30:'INPUT Data'!F49,0.75)-PERCENTILE('INPUT Data'!F30:'INPUT Data'!F49,0.25)</x:f>
        <x:v>0</x:v>
      </x:c>
      <x:c r="F24" s="60" t="n">
        <x:f>PERCENTILE('INPUT Data'!G30:'INPUT Data'!G49,0.75)-PERCENTILE('INPUT Data'!G30:'INPUT Data'!G49,0.25)</x:f>
        <x:v>0</x:v>
      </x:c>
      <x:c r="G24" s="60" t="n">
        <x:f>PERCENTILE('INPUT Data'!H30:'INPUT Data'!H49,0.75)-PERCENTILE('INPUT Data'!H30:'INPUT Data'!H49,0.25)</x:f>
        <x:v>4</x:v>
      </x:c>
      <x:c r="H24" s="60" t="n">
        <x:f>PERCENTILE('INPUT Data'!I30:'INPUT Data'!I49,0.75)-PERCENTILE('INPUT Data'!I30:'INPUT Data'!I49,0.25)</x:f>
        <x:v>0</x:v>
      </x:c>
      <x:c r="I24" s="60" t="n">
        <x:f>PERCENTILE('INPUT Data'!J30:'INPUT Data'!J49,0.75)-PERCENTILE('INPUT Data'!J30:'INPUT Data'!J49,0.25)</x:f>
        <x:v>0</x:v>
      </x:c>
      <x:c r="J24" s="60" t="n">
        <x:f>PERCENTILE('INPUT Data'!K30:'INPUT Data'!K49,0.75)-PERCENTILE('INPUT Data'!K30:'INPUT Data'!K49,0.25)</x:f>
        <x:v>3</x:v>
      </x:c>
      <x:c r="K24" s="60" t="n">
        <x:f>PERCENTILE('INPUT Data'!L30:'INPUT Data'!L49,0.75)-PERCENTILE('INPUT Data'!L30:'INPUT Data'!L49,0.25)</x:f>
        <x:v>0</x:v>
      </x:c>
      <x:c r="L24" s="83" t="n">
        <x:f>PERCENTILE('INPUT Data'!M30:'INPUT Data'!M49,0.75)-PERCENTILE('INPUT Data'!M30:'INPUT Data'!M49,0.25)</x:f>
        <x:v>0</x:v>
      </x:c>
      <x:c r="O24" s="51"/>
    </x:row>
    <x:row r="25" ht="27.75" customHeight="1">
      <x:c r="A25" s="28"/>
      <x:c r="B25" s="97"/>
      <x:c r="C25" s="59" t="str">
        <x:f t="shared" si="4"/>
        <x:v>S*</x:v>
      </x:c>
      <x:c r="D25" s="60" t="n">
        <x:f>(1.25/1.35)*(D24/SQRT(COUNTA('INPUT Data'!E30:E49)))</x:f>
        <x:v>0</x:v>
      </x:c>
      <x:c r="E25" s="60" t="n">
        <x:f>(1.25/1.35)*(E24/SQRT(COUNTA('INPUT Data'!F30:F49)))</x:f>
        <x:v>0</x:v>
      </x:c>
      <x:c r="F25" s="60" t="n">
        <x:f>(1.25/1.35)*(F24/SQRT(COUNTA('INPUT Data'!G30:G49)))</x:f>
        <x:v>0</x:v>
      </x:c>
      <x:c r="G25" s="60" t="n">
        <x:f>(1.25/1.35)*(G24/SQRT(COUNTA('INPUT Data'!H30:H49)))</x:f>
        <x:v>1.30945700219731</x:v>
      </x:c>
      <x:c r="H25" s="60" t="n">
        <x:f>(1.25/1.35)*(H24/SQRT(COUNTA('INPUT Data'!I30:I49)))</x:f>
        <x:v>0</x:v>
      </x:c>
      <x:c r="I25" s="60" t="n">
        <x:f>(1.25/1.35)*(I24/SQRT(COUNTA('INPUT Data'!J30:J49)))</x:f>
        <x:v>0</x:v>
      </x:c>
      <x:c r="J25" s="60" t="n">
        <x:f>(1.25/1.35)*(J24/SQRT(COUNTA('INPUT Data'!K30:K49)))</x:f>
        <x:v>0.9820927516479825</x:v>
      </x:c>
      <x:c r="K25" s="60" t="n">
        <x:f>(1.25/1.35)*(K24/SQRT(COUNTA('INPUT Data'!L30:L49)))</x:f>
        <x:v>0</x:v>
      </x:c>
      <x:c r="L25" s="83" t="n">
        <x:f>(1.25/1.35)*(L24/SQRT(COUNTA('INPUT Data'!M30:M49)))</x:f>
        <x:v>0</x:v>
      </x:c>
      <x:c r="O25" s="51"/>
    </x:row>
    <x:row r="26" ht="27.75" customHeight="1">
      <x:c r="A26" s="28"/>
      <x:c r="B26" s="97"/>
      <x:c r="C26" s="57" t="str">
        <x:f t="shared" si="4"/>
        <x:v>CVr%</x:v>
      </x:c>
      <x:c r="D26" s="61" t="str">
        <x:f>IFERROR((D25/D21)*100,"")</x:f>
      </x:c>
      <x:c r="E26" s="61" t="str">
        <x:f t="shared" ref="E26:L26" si="5">IFERROR((E25/E21)*100,"")</x:f>
      </x:c>
      <x:c r="F26" s="61" t="str">
        <x:f t="shared" si="5"/>
      </x:c>
      <x:c r="G26" s="61">
        <x:f t="shared" si="5"/>
        <x:v>0</x:v>
      </x:c>
      <x:c r="H26" s="61" t="str">
        <x:f t="shared" si="5"/>
      </x:c>
      <x:c r="I26" s="61" t="str">
        <x:f t="shared" si="5"/>
      </x:c>
      <x:c r="J26" s="61">
        <x:f t="shared" si="5"/>
        <x:v>0</x:v>
      </x:c>
      <x:c r="K26" s="61" t="str">
        <x:f t="shared" si="5"/>
      </x:c>
      <x:c r="L26" s="61" t="str">
        <x:f t="shared" si="5"/>
      </x:c>
      <x:c r="O26" s="51"/>
    </x:row>
    <x:row r="27" ht="27.75" customHeight="1">
      <x:c r="A27" s="28"/>
      <x:c r="B27" s="97"/>
      <x:c r="C27" s="59" t="str">
        <x:f t="shared" si="4"/>
        <x:v>Limite superiore IC</x:v>
      </x:c>
      <x:c r="D27" s="62" t="n">
        <x:f>D21+1.96*D25</x:f>
        <x:v>0</x:v>
      </x:c>
      <x:c r="E27" s="62" t="n">
        <x:f t="shared" ref="E27:L27" si="6">E21+1.96*E25</x:f>
        <x:v>0</x:v>
      </x:c>
      <x:c r="F27" s="62">
        <x:f t="shared" si="6"/>
        <x:v>0</x:v>
      </x:c>
      <x:c r="G27" s="62">
        <x:f t="shared" si="6"/>
        <x:v>4</x:v>
      </x:c>
      <x:c r="H27" s="62">
        <x:f t="shared" si="6"/>
        <x:v>0</x:v>
      </x:c>
      <x:c r="I27" s="62">
        <x:f t="shared" si="6"/>
        <x:v>0</x:v>
      </x:c>
      <x:c r="J27" s="62">
        <x:f t="shared" si="6"/>
        <x:v>3</x:v>
      </x:c>
      <x:c r="K27" s="62">
        <x:f t="shared" si="6"/>
        <x:v>0</x:v>
      </x:c>
      <x:c r="L27" s="84">
        <x:f t="shared" si="6"/>
        <x:v>0</x:v>
      </x:c>
      <x:c r="O27" s="51"/>
    </x:row>
    <x:row r="28" ht="27.75" customHeight="1">
      <x:c r="A28" s="28"/>
      <x:c r="B28" s="97"/>
      <x:c r="C28" s="59" t="str">
        <x:f t="shared" si="4"/>
        <x:v>Limite inferiore IC</x:v>
      </x:c>
      <x:c r="D28" s="62" t="n">
        <x:f>D21-1.96*D25</x:f>
        <x:v>0</x:v>
      </x:c>
      <x:c r="E28" s="62" t="n">
        <x:f t="shared" ref="E28:L28" si="7">E21-1.96*E25</x:f>
        <x:v>0</x:v>
      </x:c>
      <x:c r="F28" s="62">
        <x:f t="shared" si="7"/>
        <x:v>0</x:v>
      </x:c>
      <x:c r="G28" s="62">
        <x:f t="shared" si="7"/>
        <x:v>4</x:v>
      </x:c>
      <x:c r="H28" s="62">
        <x:f t="shared" si="7"/>
        <x:v>0</x:v>
      </x:c>
      <x:c r="I28" s="62">
        <x:f t="shared" si="7"/>
        <x:v>0</x:v>
      </x:c>
      <x:c r="J28" s="62">
        <x:f t="shared" si="7"/>
        <x:v>3</x:v>
      </x:c>
      <x:c r="K28" s="62">
        <x:f t="shared" si="7"/>
        <x:v>0</x:v>
      </x:c>
      <x:c r="L28" s="84">
        <x:f t="shared" si="7"/>
        <x:v>0</x:v>
      </x:c>
      <x:c r="O28" s="51"/>
    </x:row>
    <x:row r="29" ht="27.75" customHeight="1">
      <x:c r="A29" s="28"/>
      <x:c r="B29" s="98"/>
      <x:c r="C29" s="30" t="str">
        <x:f t="shared" si="4"/>
        <x:v> </x:v>
      </x:c>
      <x:c r="D29" s="56"/>
      <x:c r="E29" s="56"/>
      <x:c r="F29" s="56"/>
      <x:c r="G29" s="56"/>
      <x:c r="H29" s="56"/>
      <x:c r="I29" s="56"/>
      <x:c r="J29" s="56"/>
      <x:c r="K29" s="56"/>
      <x:c r="L29" s="107"/>
      <x:c r="O29" s="51"/>
    </x:row>
    <x:row r="30" ht="27.75" customHeight="1">
      <x:c r="A30" s="28"/>
      <x:c r="B30" s="98"/>
      <x:c r="L30" s="85"/>
      <x:c r="O30" s="51"/>
    </x:row>
    <x:row r="31" ht="27.75" customHeight="1">
      <x:c r="A31" s="28"/>
      <x:c r="B31" s="99"/>
      <x:c r="C31" s="66" t="str">
        <x:f>IF($M21&gt;6,"Lampant",IF($M21&gt;3.5,"Ordinary",IF($M21&gt;0,"Virgin","Extra Virgin")))</x:f>
        <x:v>Ordinary</x:v>
      </x:c>
      <x:c r="D31" s="66" t="str">
        <x:f>IF($M21&gt;3.5,"Lampant",IF($M21&gt;0,"Virgin","Extra Virgin"))</x:f>
        <x:v>Lampant</x:v>
      </x:c>
      <x:c r="E31" s="63"/>
      <x:c r="F31" s="63"/>
      <x:c r="G31" s="63"/>
      <x:c r="H31" s="63"/>
      <x:c r="I31" s="63"/>
      <x:c r="J31" s="63"/>
      <x:c r="K31" s="64"/>
      <x:c r="L31" s="86"/>
      <x:c r="N31" s="68" t="str">
        <x:f>IF($J21=0,"Ordinary",$C31)</x:f>
        <x:v>Ordinary</x:v>
      </x:c>
      <x:c r="O31" s="51"/>
      <x:c r="P31" s="69" t="str">
        <x:f>IF($J21=0,"Lampant",$D31)</x:f>
        <x:v>Lampant</x:v>
      </x:c>
    </x:row>
    <x:row r="32" ht="27.75" customHeight="1">
      <x:c r="A32" s="28"/>
      <x:c r="O32" s="51"/>
    </x:row>
    <x:row r="33" s="92" customFormat="1" ht="27.75" customHeight="1">
      <x:c r="A33" s="87"/>
      <x:c r="B33" s="88" t="str">
        <x:f>B6</x:f>
        <x:v>Campione</x:v>
      </x:c>
      <x:c r="C33" s="89"/>
      <x:c r="D33" s="89" t="str">
        <x:f t="shared" ref="D33:L33" si="8">D6</x:f>
        <x:v>Riscaldo / Morchia</x:v>
      </x:c>
      <x:c r="E33" s="89" t="str">
        <x:f t="shared" si="8"/>
        <x:v>Muffa / Umidità / Terra</x:v>
      </x:c>
      <x:c r="F33" s="89" t="str">
        <x:f t="shared" si="8"/>
        <x:v>Avvinato / Inacetito / Acido / Agro</x:v>
      </x:c>
      <x:c r="G33" s="89" t="str">
        <x:f t="shared" si="8"/>
        <x:v>Olive gelate (legno umido)</x:v>
      </x:c>
      <x:c r="H33" s="89" t="str">
        <x:f t="shared" si="8"/>
        <x:v>Rancido</x:v>
      </x:c>
      <x:c r="I33" s="89" t="str">
        <x:f t="shared" si="8"/>
        <x:v>Altro attributo negativo</x:v>
      </x:c>
      <x:c r="J33" s="89" t="str">
        <x:f t="shared" si="8"/>
        <x:v>Fruttato</x:v>
      </x:c>
      <x:c r="K33" s="89" t="str">
        <x:f t="shared" si="8"/>
        <x:v>Amaro</x:v>
      </x:c>
      <x:c r="L33" s="90" t="str">
        <x:f t="shared" si="8"/>
        <x:v>Piccante</x:v>
      </x:c>
      <x:c r="M33" s="91"/>
      <x:c r="O33" s="93"/>
    </x:row>
    <x:row r="34" ht="27.75" customHeight="1">
      <x:c r="A34" s="28" t="str">
        <x:f>'INPUT Data'!A52</x:f>
        <x:v>Campione 3</x:v>
      </x:c>
      <x:c r="B34" s="97" t="n">
        <x:f>'INPUT Data'!C53</x:f>
        <x:v>0</x:v>
      </x:c>
      <x:c r="C34" s="57" t="str">
        <x:f>C7</x:f>
        <x:v>Mediana</x:v>
      </x:c>
      <x:c r="D34" s="58" t="n">
        <x:f>MEDIAN('INPUT Data'!E53:'INPUT Data'!E72)</x:f>
        <x:v>0</x:v>
      </x:c>
      <x:c r="E34" s="58" t="n">
        <x:f>MEDIAN('INPUT Data'!F53:'INPUT Data'!F72)</x:f>
        <x:v>0</x:v>
      </x:c>
      <x:c r="F34" s="58" t="n">
        <x:f>MEDIAN('INPUT Data'!G53:'INPUT Data'!G72)</x:f>
        <x:v>0</x:v>
      </x:c>
      <x:c r="G34" s="58" t="n">
        <x:f>MEDIAN('INPUT Data'!H53:'INPUT Data'!H72)</x:f>
        <x:v>7</x:v>
      </x:c>
      <x:c r="H34" s="58" t="n">
        <x:f>MEDIAN('INPUT Data'!I53:'INPUT Data'!I72)</x:f>
        <x:v>0</x:v>
      </x:c>
      <x:c r="I34" s="58" t="n">
        <x:f>MEDIAN('INPUT Data'!J53:'INPUT Data'!J72)</x:f>
        <x:v>0</x:v>
      </x:c>
      <x:c r="J34" s="58" t="n">
        <x:f>MEDIAN('INPUT Data'!K53:'INPUT Data'!K72)</x:f>
        <x:v>1</x:v>
      </x:c>
      <x:c r="K34" s="58" t="n">
        <x:f>MEDIAN('INPUT Data'!L53:'INPUT Data'!L72)</x:f>
        <x:v>0</x:v>
      </x:c>
      <x:c r="L34" s="82" t="n">
        <x:f>MEDIAN('INPUT Data'!M53:'INPUT Data'!M72)</x:f>
        <x:v>0</x:v>
      </x:c>
      <x:c r="M34" s="55" t="n">
        <x:f>MAX(D34:I34)</x:f>
        <x:v>7</x:v>
      </x:c>
      <x:c r="O34" s="51"/>
    </x:row>
    <x:row r="35" ht="27.75" customHeight="1">
      <x:c r="A35" s="28"/>
      <x:c r="B35" s="106"/>
      <x:c r="C35" s="102" t="str">
        <x:v>Media</x:v>
      </x:c>
      <x:c r="D35" s="103" t="n">
        <x:f>AVERAGE('INPUT Data'!E53:'INPUT Data'!E72)</x:f>
        <x:v>0.3125</x:v>
      </x:c>
      <x:c r="E35" s="103" t="n">
        <x:f>AVERAGE('INPUT Data'!F53:'INPUT Data'!F72)</x:f>
        <x:v>0</x:v>
      </x:c>
      <x:c r="F35" s="103" t="n">
        <x:f>AVERAGE('INPUT Data'!G53:'INPUT Data'!G72)</x:f>
        <x:v>0</x:v>
      </x:c>
      <x:c r="G35" s="103" t="n">
        <x:f>AVERAGE('INPUT Data'!H53:'INPUT Data'!H72)</x:f>
        <x:v>7</x:v>
      </x:c>
      <x:c r="H35" s="103" t="n">
        <x:f>AVERAGE('INPUT Data'!I53:'INPUT Data'!I72)</x:f>
        <x:v>0</x:v>
      </x:c>
      <x:c r="I35" s="103" t="n">
        <x:f>AVERAGE('INPUT Data'!J53:'INPUT Data'!J72)</x:f>
        <x:v>0</x:v>
      </x:c>
      <x:c r="J35" s="103" t="n">
        <x:f>AVERAGE('INPUT Data'!K53:'INPUT Data'!K72)</x:f>
        <x:v>0.875</x:v>
      </x:c>
      <x:c r="K35" s="103" t="n">
        <x:f>AVERAGE('INPUT Data'!L53:'INPUT Data'!L72)</x:f>
        <x:v>0</x:v>
      </x:c>
      <x:c r="L35" s="103" t="n">
        <x:f>AVERAGE('INPUT Data'!M53:'INPUT Data'!M72)</x:f>
        <x:v>0</x:v>
      </x:c>
      <x:c r="M35" s="55"/>
      <x:c r="O35" s="51"/>
    </x:row>
    <x:row r="36" ht="27.75" customHeight="1">
      <x:c r="A36" s="28"/>
      <x:c r="B36" s="106"/>
      <x:c r="C36" s="105" t="str">
        <x:v>Deviazione standard</x:v>
      </x:c>
      <x:c r="D36" s="103" t="n">
        <x:f>_xlfn.STDEV.S('INPUT Data'!E53:'INPUT Data'!E72)</x:f>
        <x:v>0.5792544469278714</x:v>
      </x:c>
      <x:c r="E36" s="103" t="n">
        <x:f>_xlfn.STDEV.S('INPUT Data'!F53:'INPUT Data'!F72)</x:f>
        <x:v>0</x:v>
      </x:c>
      <x:c r="F36" s="103" t="n">
        <x:f>_xlfn.STDEV.S('INPUT Data'!G53:'INPUT Data'!G72)</x:f>
        <x:v>0</x:v>
      </x:c>
      <x:c r="G36" s="103" t="n">
        <x:f>_xlfn.STDEV.S('INPUT Data'!H53:'INPUT Data'!H72)</x:f>
        <x:v>0</x:v>
      </x:c>
      <x:c r="H36" s="103" t="n">
        <x:f>_xlfn.STDEV.S('INPUT Data'!I53:'INPUT Data'!I72)</x:f>
        <x:v>0</x:v>
      </x:c>
      <x:c r="I36" s="103" t="n">
        <x:f>_xlfn.STDEV.S('INPUT Data'!J53:'INPUT Data'!J72)</x:f>
        <x:v>0</x:v>
      </x:c>
      <x:c r="J36" s="103" t="n">
        <x:f>_xlfn.STDEV.S('INPUT Data'!K53:'INPUT Data'!K72)</x:f>
        <x:v>0.3535533905932738</x:v>
      </x:c>
      <x:c r="K36" s="103" t="n">
        <x:f>_xlfn.STDEV.S('INPUT Data'!L53:'INPUT Data'!L72)</x:f>
        <x:v>0</x:v>
      </x:c>
      <x:c r="L36" s="103" t="n">
        <x:f>_xlfn.STDEV.S('INPUT Data'!M53:'INPUT Data'!M72)</x:f>
        <x:v>0</x:v>
      </x:c>
      <x:c r="M36" s="55"/>
      <x:c r="O36" s="51"/>
    </x:row>
    <x:row r="37" ht="27.75" customHeight="1">
      <x:c r="A37" s="28"/>
      <x:c r="B37" s="97"/>
      <x:c r="C37" s="59" t="str">
        <x:f t="shared" ref="C37:C42" si="9">C10</x:f>
        <x:v>Intervallo interquartile</x:v>
      </x:c>
      <x:c r="D37" s="60" t="n">
        <x:f>PERCENTILE('INPUT Data'!E53:'INPUT Data'!E72,0.75)-PERCENTILE('INPUT Data'!E53:'INPUT Data'!E72,0.25)</x:f>
        <x:v>0</x:v>
      </x:c>
      <x:c r="E37" s="60" t="n">
        <x:f>PERCENTILE('INPUT Data'!F53:'INPUT Data'!F72,0.75)-PERCENTILE('INPUT Data'!F53:'INPUT Data'!F72,0.25)</x:f>
        <x:v>0</x:v>
      </x:c>
      <x:c r="F37" s="60" t="n">
        <x:f>PERCENTILE('INPUT Data'!G53:'INPUT Data'!G72,0.75)-PERCENTILE('INPUT Data'!G53:'INPUT Data'!G72,0.25)</x:f>
        <x:v>0</x:v>
      </x:c>
      <x:c r="G37" s="60" t="n">
        <x:f>PERCENTILE('INPUT Data'!H53:'INPUT Data'!H72,0.75)-PERCENTILE('INPUT Data'!H53:'INPUT Data'!H72,0.25)</x:f>
        <x:v>7</x:v>
      </x:c>
      <x:c r="H37" s="60" t="n">
        <x:f>PERCENTILE('INPUT Data'!I53:'INPUT Data'!I72,0.75)-PERCENTILE('INPUT Data'!I53:'INPUT Data'!I72,0.25)</x:f>
        <x:v>0</x:v>
      </x:c>
      <x:c r="I37" s="60" t="n">
        <x:f>PERCENTILE('INPUT Data'!J53:'INPUT Data'!J72,0.75)-PERCENTILE('INPUT Data'!J53:'INPUT Data'!J72,0.25)</x:f>
        <x:v>0</x:v>
      </x:c>
      <x:c r="J37" s="60" t="n">
        <x:f>PERCENTILE('INPUT Data'!K53:'INPUT Data'!K72,0.75)-PERCENTILE('INPUT Data'!K53:'INPUT Data'!K72,0.25)</x:f>
        <x:v>1</x:v>
      </x:c>
      <x:c r="K37" s="60" t="n">
        <x:f>PERCENTILE('INPUT Data'!L53:'INPUT Data'!L72,0.75)-PERCENTILE('INPUT Data'!L53:'INPUT Data'!L72,0.25)</x:f>
        <x:v>0</x:v>
      </x:c>
      <x:c r="L37" s="83" t="n">
        <x:f>PERCENTILE('INPUT Data'!M53:'INPUT Data'!M72,0.75)-PERCENTILE('INPUT Data'!M53:'INPUT Data'!M72,0.25)</x:f>
        <x:v>0</x:v>
      </x:c>
      <x:c r="O37" s="51"/>
    </x:row>
    <x:row r="38" ht="27.75" customHeight="1">
      <x:c r="A38" s="28"/>
      <x:c r="B38" s="97"/>
      <x:c r="C38" s="59" t="str">
        <x:f t="shared" si="9"/>
        <x:v>S*</x:v>
      </x:c>
      <x:c r="D38" s="60" t="n">
        <x:f>(1.25/1.35)*(D37/SQRT(COUNTA('INPUT Data'!E53:E72)))</x:f>
        <x:v>0</x:v>
      </x:c>
      <x:c r="E38" s="60" t="n">
        <x:f>(1.25/1.35)*(E37/SQRT(COUNTA('INPUT Data'!F53:F72)))</x:f>
        <x:v>0</x:v>
      </x:c>
      <x:c r="F38" s="60" t="n">
        <x:f>(1.25/1.35)*(F37/SQRT(COUNTA('INPUT Data'!G53:G72)))</x:f>
        <x:v>0</x:v>
      </x:c>
      <x:c r="G38" s="60" t="n">
        <x:f>(1.25/1.35)*(G37/SQRT(COUNTA('INPUT Data'!H53:H72)))</x:f>
        <x:v>2.2915497538452927</x:v>
      </x:c>
      <x:c r="H38" s="60" t="n">
        <x:f>(1.25/1.35)*(H37/SQRT(COUNTA('INPUT Data'!I53:I72)))</x:f>
        <x:v>0</x:v>
      </x:c>
      <x:c r="I38" s="60" t="n">
        <x:f>(1.25/1.35)*(I37/SQRT(COUNTA('INPUT Data'!J53:J72)))</x:f>
        <x:v>0</x:v>
      </x:c>
      <x:c r="J38" s="60" t="n">
        <x:f>(1.25/1.35)*(J37/SQRT(COUNTA('INPUT Data'!K53:K72)))</x:f>
        <x:v>0.3273642505493275</x:v>
      </x:c>
      <x:c r="K38" s="60" t="n">
        <x:f>(1.25/1.35)*(K37/SQRT(COUNTA('INPUT Data'!L53:L72)))</x:f>
        <x:v>0</x:v>
      </x:c>
      <x:c r="L38" s="83" t="n">
        <x:f>(1.25/1.35)*(L37/SQRT(COUNTA('INPUT Data'!M53:M72)))</x:f>
        <x:v>0</x:v>
      </x:c>
      <x:c r="O38" s="51"/>
    </x:row>
    <x:row r="39" ht="27.75" customHeight="1">
      <x:c r="A39" s="28"/>
      <x:c r="B39" s="97"/>
      <x:c r="C39" s="57" t="str">
        <x:f t="shared" si="9"/>
        <x:v>CVr%</x:v>
      </x:c>
      <x:c r="D39" s="61" t="str">
        <x:f>IFERROR((D38/D34)*100,"")</x:f>
      </x:c>
      <x:c r="E39" s="61" t="str">
        <x:f t="shared" ref="E39:L39" si="10">IFERROR((E38/E34)*100,"")</x:f>
      </x:c>
      <x:c r="F39" s="61" t="str">
        <x:f t="shared" si="10"/>
      </x:c>
      <x:c r="G39" s="61">
        <x:f t="shared" si="10"/>
        <x:v>0</x:v>
      </x:c>
      <x:c r="H39" s="61" t="str">
        <x:f t="shared" si="10"/>
      </x:c>
      <x:c r="I39" s="61" t="str">
        <x:f t="shared" si="10"/>
      </x:c>
      <x:c r="J39" s="61">
        <x:f t="shared" si="10"/>
        <x:v>0</x:v>
      </x:c>
      <x:c r="K39" s="61" t="str">
        <x:f t="shared" si="10"/>
      </x:c>
      <x:c r="L39" s="61" t="str">
        <x:f t="shared" si="10"/>
      </x:c>
      <x:c r="O39" s="51"/>
    </x:row>
    <x:row r="40" ht="27.75" customHeight="1">
      <x:c r="A40" s="28"/>
      <x:c r="B40" s="97"/>
      <x:c r="C40" s="59" t="str">
        <x:f t="shared" si="9"/>
        <x:v>Limite superiore IC</x:v>
      </x:c>
      <x:c r="D40" s="62" t="n">
        <x:f>D34+1.96*D38</x:f>
        <x:v>0</x:v>
      </x:c>
      <x:c r="E40" s="62" t="n">
        <x:f t="shared" ref="E40:L40" si="11">E34+1.96*E38</x:f>
        <x:v>0</x:v>
      </x:c>
      <x:c r="F40" s="62">
        <x:f t="shared" si="11"/>
        <x:v>0</x:v>
      </x:c>
      <x:c r="G40" s="62">
        <x:f t="shared" si="11"/>
        <x:v>7</x:v>
      </x:c>
      <x:c r="H40" s="62">
        <x:f t="shared" si="11"/>
        <x:v>0</x:v>
      </x:c>
      <x:c r="I40" s="62">
        <x:f t="shared" si="11"/>
        <x:v>0</x:v>
      </x:c>
      <x:c r="J40" s="62">
        <x:f t="shared" si="11"/>
        <x:v>1</x:v>
      </x:c>
      <x:c r="K40" s="62">
        <x:f t="shared" si="11"/>
        <x:v>0</x:v>
      </x:c>
      <x:c r="L40" s="84">
        <x:f t="shared" si="11"/>
        <x:v>0</x:v>
      </x:c>
      <x:c r="O40" s="51"/>
    </x:row>
    <x:row r="41" ht="27.75" customHeight="1">
      <x:c r="A41" s="28"/>
      <x:c r="B41" s="97"/>
      <x:c r="C41" s="59" t="str">
        <x:f t="shared" si="9"/>
        <x:v>Limite inferiore IC</x:v>
      </x:c>
      <x:c r="D41" s="62" t="n">
        <x:f>D34-1.96*D38</x:f>
        <x:v>0</x:v>
      </x:c>
      <x:c r="E41" s="62" t="n">
        <x:f t="shared" ref="E41:L41" si="12">E34-1.96*E38</x:f>
        <x:v>0</x:v>
      </x:c>
      <x:c r="F41" s="62">
        <x:f t="shared" si="12"/>
        <x:v>0</x:v>
      </x:c>
      <x:c r="G41" s="62">
        <x:f t="shared" si="12"/>
        <x:v>7</x:v>
      </x:c>
      <x:c r="H41" s="62">
        <x:f t="shared" si="12"/>
        <x:v>0</x:v>
      </x:c>
      <x:c r="I41" s="62">
        <x:f t="shared" si="12"/>
        <x:v>0</x:v>
      </x:c>
      <x:c r="J41" s="62">
        <x:f t="shared" si="12"/>
        <x:v>1</x:v>
      </x:c>
      <x:c r="K41" s="62">
        <x:f t="shared" si="12"/>
        <x:v>0</x:v>
      </x:c>
      <x:c r="L41" s="84">
        <x:f t="shared" si="12"/>
        <x:v>0</x:v>
      </x:c>
      <x:c r="O41" s="51"/>
    </x:row>
    <x:row r="42" ht="27.75" customHeight="1">
      <x:c r="A42" s="28"/>
      <x:c r="B42" s="98"/>
      <x:c r="C42" s="30" t="str">
        <x:f t="shared" si="9"/>
        <x:v> </x:v>
      </x:c>
      <x:c r="D42" s="56"/>
      <x:c r="E42" s="56"/>
      <x:c r="F42" s="56"/>
      <x:c r="G42" s="56"/>
      <x:c r="H42" s="56"/>
      <x:c r="I42" s="56"/>
      <x:c r="J42" s="56"/>
      <x:c r="K42" s="56"/>
      <x:c r="L42" s="107"/>
      <x:c r="O42" s="51"/>
    </x:row>
    <x:row r="43" ht="27.75" customHeight="1">
      <x:c r="A43" s="28"/>
      <x:c r="B43" s="98"/>
      <x:c r="L43" s="85"/>
      <x:c r="O43" s="51"/>
    </x:row>
    <x:row r="44" ht="27.75" customHeight="1">
      <x:c r="A44" s="28"/>
      <x:c r="B44" s="99"/>
      <x:c r="C44" s="66" t="str">
        <x:f>IF($M34&gt;6,"Lampant",IF($M34&gt;3.5,"Ordinary",IF($M34&gt;0,"Virgin","Extra Virgin")))</x:f>
        <x:v>Lampant</x:v>
      </x:c>
      <x:c r="D44" s="66" t="str">
        <x:f>IF($M34&gt;3.5,"Lampant",IF($M34&gt;0,"Virgin","Extra Virgin"))</x:f>
        <x:v>Lampant</x:v>
      </x:c>
      <x:c r="E44" s="63"/>
      <x:c r="F44" s="63"/>
      <x:c r="G44" s="63"/>
      <x:c r="H44" s="63"/>
      <x:c r="I44" s="63"/>
      <x:c r="J44" s="63"/>
      <x:c r="K44" s="64"/>
      <x:c r="L44" s="86"/>
      <x:c r="N44" s="68" t="str">
        <x:f>IF($J34=0,"Ordinary",$C44)</x:f>
        <x:v>Lampant</x:v>
      </x:c>
      <x:c r="O44" s="51"/>
      <x:c r="P44" s="69" t="str">
        <x:f>IF($J34=0,"Lampant",$D44)</x:f>
        <x:v>Lampant</x:v>
      </x:c>
    </x:row>
    <x:row r="45" ht="27.75" customHeight="1">
      <x:c r="A45" s="28"/>
      <x:c r="O45" s="51"/>
    </x:row>
    <x:row r="46" s="92" customFormat="1" ht="27.75" customHeight="1">
      <x:c r="A46" s="87"/>
      <x:c r="B46" s="88" t="str">
        <x:f>B6</x:f>
        <x:v>Campione</x:v>
      </x:c>
      <x:c r="C46" s="89"/>
      <x:c r="D46" s="89" t="str">
        <x:f t="shared" ref="D46:L46" si="13">D6</x:f>
        <x:v>Riscaldo / Morchia</x:v>
      </x:c>
      <x:c r="E46" s="89" t="str">
        <x:f t="shared" si="13"/>
        <x:v>Muffa / Umidità / Terra</x:v>
      </x:c>
      <x:c r="F46" s="89" t="str">
        <x:f t="shared" si="13"/>
        <x:v>Avvinato / Inacetito / Acido / Agro</x:v>
      </x:c>
      <x:c r="G46" s="89" t="str">
        <x:f t="shared" si="13"/>
        <x:v>Olive gelate (legno umido)</x:v>
      </x:c>
      <x:c r="H46" s="89" t="str">
        <x:f t="shared" si="13"/>
        <x:v>Rancido</x:v>
      </x:c>
      <x:c r="I46" s="89" t="str">
        <x:f t="shared" si="13"/>
        <x:v>Altro attributo negativo</x:v>
      </x:c>
      <x:c r="J46" s="89" t="str">
        <x:f t="shared" si="13"/>
        <x:v>Fruttato</x:v>
      </x:c>
      <x:c r="K46" s="89" t="str">
        <x:f t="shared" si="13"/>
        <x:v>Amaro</x:v>
      </x:c>
      <x:c r="L46" s="90" t="str">
        <x:f t="shared" si="13"/>
        <x:v>Piccante</x:v>
      </x:c>
      <x:c r="M46" s="91"/>
      <x:c r="O46" s="93"/>
    </x:row>
    <x:row r="47" ht="27.75" customHeight="1">
      <x:c r="A47" s="28" t="str">
        <x:f>'INPUT Data'!A75</x:f>
        <x:v>Campione 4</x:v>
      </x:c>
      <x:c r="B47" s="97" t="n">
        <x:f>'INPUT Data'!C76</x:f>
        <x:v>0</x:v>
      </x:c>
      <x:c r="C47" s="57" t="str">
        <x:f>C7</x:f>
        <x:v>Mediana</x:v>
      </x:c>
      <x:c r="D47" s="58" t="n">
        <x:f>MEDIAN('INPUT Data'!E76:'INPUT Data'!E95)</x:f>
        <x:v>0</x:v>
      </x:c>
      <x:c r="E47" s="58" t="n">
        <x:f>MEDIAN('INPUT Data'!F76:'INPUT Data'!F95)</x:f>
        <x:v>0</x:v>
      </x:c>
      <x:c r="F47" s="58" t="n">
        <x:f>MEDIAN('INPUT Data'!G76:'INPUT Data'!G95)</x:f>
        <x:v>0</x:v>
      </x:c>
      <x:c r="G47" s="58" t="n">
        <x:f>MEDIAN('INPUT Data'!H76:'INPUT Data'!H95)</x:f>
        <x:v>2</x:v>
      </x:c>
      <x:c r="H47" s="58" t="n">
        <x:f>MEDIAN('INPUT Data'!I76:'INPUT Data'!I95)</x:f>
        <x:v>0</x:v>
      </x:c>
      <x:c r="I47" s="58" t="n">
        <x:f>MEDIAN('INPUT Data'!J76:'INPUT Data'!J95)</x:f>
        <x:v>0</x:v>
      </x:c>
      <x:c r="J47" s="58" t="n">
        <x:f>MEDIAN('INPUT Data'!K76:'INPUT Data'!K95)</x:f>
        <x:v>3</x:v>
      </x:c>
      <x:c r="K47" s="58" t="n">
        <x:f>MEDIAN('INPUT Data'!L76:'INPUT Data'!L95)</x:f>
        <x:v>0</x:v>
      </x:c>
      <x:c r="L47" s="82" t="n">
        <x:f>MEDIAN('INPUT Data'!M76:'INPUT Data'!M95)</x:f>
        <x:v>0</x:v>
      </x:c>
      <x:c r="M47" s="55" t="n">
        <x:f>MAX(D47:I47)</x:f>
        <x:v>2</x:v>
      </x:c>
      <x:c r="O47" s="51"/>
    </x:row>
    <x:row r="48" ht="27.75" customHeight="1">
      <x:c r="A48" s="28"/>
      <x:c r="B48" s="106"/>
      <x:c r="C48" s="102" t="str">
        <x:v>Media</x:v>
      </x:c>
      <x:c r="D48" s="103" t="n">
        <x:f>AVERAGE('INPUT Data'!E76:'INPUT Data'!E95)</x:f>
        <x:v>0</x:v>
      </x:c>
      <x:c r="E48" s="103" t="n">
        <x:f>AVERAGE('INPUT Data'!F76:'INPUT Data'!F95)</x:f>
        <x:v>0</x:v>
      </x:c>
      <x:c r="F48" s="103" t="n">
        <x:f>AVERAGE('INPUT Data'!G76:'INPUT Data'!G95)</x:f>
        <x:v>0.3125</x:v>
      </x:c>
      <x:c r="G48" s="103" t="n">
        <x:f>AVERAGE('INPUT Data'!H76:'INPUT Data'!H95)</x:f>
        <x:v>2</x:v>
      </x:c>
      <x:c r="H48" s="103" t="n">
        <x:f>AVERAGE('INPUT Data'!I76:'INPUT Data'!I95)</x:f>
        <x:v>0.1125</x:v>
      </x:c>
      <x:c r="I48" s="103" t="n">
        <x:f>AVERAGE('INPUT Data'!J76:'INPUT Data'!J95)</x:f>
        <x:v>0</x:v>
      </x:c>
      <x:c r="J48" s="103" t="n">
        <x:f>AVERAGE('INPUT Data'!K76:'INPUT Data'!K95)</x:f>
        <x:v>3</x:v>
      </x:c>
      <x:c r="K48" s="103" t="n">
        <x:f>AVERAGE('INPUT Data'!L76:'INPUT Data'!L95)</x:f>
        <x:v>0</x:v>
      </x:c>
      <x:c r="L48" s="103" t="n">
        <x:f>AVERAGE('INPUT Data'!M76:'INPUT Data'!M95)</x:f>
        <x:v>0</x:v>
      </x:c>
      <x:c r="M48" s="55"/>
      <x:c r="O48" s="51"/>
    </x:row>
    <x:row r="49" ht="27.75" customHeight="1">
      <x:c r="A49" s="28"/>
      <x:c r="B49" s="106"/>
      <x:c r="C49" s="105" t="str">
        <x:v>Deviazione standard</x:v>
      </x:c>
      <x:c r="D49" s="103" t="n">
        <x:f>_xlfn.STDEV.S('INPUT Data'!E76:'INPUT Data'!E95)</x:f>
        <x:v>0</x:v>
      </x:c>
      <x:c r="E49" s="103" t="n">
        <x:f>_xlfn.STDEV.S('INPUT Data'!F76:'INPUT Data'!F95)</x:f>
        <x:v>0</x:v>
      </x:c>
      <x:c r="F49" s="103" t="n">
        <x:f>_xlfn.STDEV.S('INPUT Data'!G76:'INPUT Data'!G95)</x:f>
        <x:v>0.8838834764831844</x:v>
      </x:c>
      <x:c r="G49" s="103" t="n">
        <x:f>_xlfn.STDEV.S('INPUT Data'!H76:'INPUT Data'!H95)</x:f>
        <x:v>0</x:v>
      </x:c>
      <x:c r="H49" s="103" t="n">
        <x:f>_xlfn.STDEV.S('INPUT Data'!I76:'INPUT Data'!I95)</x:f>
        <x:v>0.31819805153394637</x:v>
      </x:c>
      <x:c r="I49" s="103" t="n">
        <x:f>_xlfn.STDEV.S('INPUT Data'!J76:'INPUT Data'!J95)</x:f>
        <x:v>0</x:v>
      </x:c>
      <x:c r="J49" s="103" t="n">
        <x:f>_xlfn.STDEV.S('INPUT Data'!K76:'INPUT Data'!K95)</x:f>
        <x:v>0</x:v>
      </x:c>
      <x:c r="K49" s="103" t="n">
        <x:f>_xlfn.STDEV.S('INPUT Data'!L76:'INPUT Data'!L95)</x:f>
        <x:v>0</x:v>
      </x:c>
      <x:c r="L49" s="103" t="n">
        <x:f>_xlfn.STDEV.S('INPUT Data'!M76:'INPUT Data'!M95)</x:f>
        <x:v>0</x:v>
      </x:c>
      <x:c r="M49" s="55"/>
      <x:c r="O49" s="51"/>
    </x:row>
    <x:row r="50" ht="27.75" customHeight="1">
      <x:c r="A50" s="28"/>
      <x:c r="B50" s="97"/>
      <x:c r="C50" s="59" t="str">
        <x:f t="shared" ref="C50:C55" si="14">C10</x:f>
        <x:v>Intervallo interquartile</x:v>
      </x:c>
      <x:c r="D50" s="60" t="n">
        <x:f>PERCENTILE('INPUT Data'!E76:'INPUT Data'!E95,0.75)-PERCENTILE('INPUT Data'!E76:'INPUT Data'!E95,0.25)</x:f>
        <x:v>0</x:v>
      </x:c>
      <x:c r="E50" s="60" t="n">
        <x:f>PERCENTILE('INPUT Data'!F76:'INPUT Data'!F95,0.75)-PERCENTILE('INPUT Data'!F76:'INPUT Data'!F95,0.25)</x:f>
        <x:v>0</x:v>
      </x:c>
      <x:c r="F50" s="60" t="n">
        <x:f>PERCENTILE('INPUT Data'!G76:'INPUT Data'!G95,0.75)-PERCENTILE('INPUT Data'!G76:'INPUT Data'!G95,0.25)</x:f>
        <x:v>0</x:v>
      </x:c>
      <x:c r="G50" s="60" t="n">
        <x:f>PERCENTILE('INPUT Data'!H76:'INPUT Data'!H95,0.75)-PERCENTILE('INPUT Data'!H76:'INPUT Data'!H95,0.25)</x:f>
        <x:v>2</x:v>
      </x:c>
      <x:c r="H50" s="60" t="n">
        <x:f>PERCENTILE('INPUT Data'!I76:'INPUT Data'!I95,0.75)-PERCENTILE('INPUT Data'!I76:'INPUT Data'!I95,0.25)</x:f>
        <x:v>0</x:v>
      </x:c>
      <x:c r="I50" s="60" t="n">
        <x:f>PERCENTILE('INPUT Data'!J76:'INPUT Data'!J95,0.75)-PERCENTILE('INPUT Data'!J76:'INPUT Data'!J95,0.25)</x:f>
        <x:v>0</x:v>
      </x:c>
      <x:c r="J50" s="60" t="n">
        <x:f>PERCENTILE('INPUT Data'!K76:'INPUT Data'!K95,0.75)-PERCENTILE('INPUT Data'!K76:'INPUT Data'!K95,0.25)</x:f>
        <x:v>3</x:v>
      </x:c>
      <x:c r="K50" s="60" t="n">
        <x:f>PERCENTILE('INPUT Data'!L76:'INPUT Data'!L95,0.75)-PERCENTILE('INPUT Data'!L76:'INPUT Data'!L95,0.25)</x:f>
        <x:v>0</x:v>
      </x:c>
      <x:c r="L50" s="83" t="n">
        <x:f>PERCENTILE('INPUT Data'!M76:'INPUT Data'!M95,0.75)-PERCENTILE('INPUT Data'!M76:'INPUT Data'!M95,0.25)</x:f>
        <x:v>0</x:v>
      </x:c>
      <x:c r="O50" s="51"/>
    </x:row>
    <x:row r="51" ht="27.75" customHeight="1">
      <x:c r="A51" s="28"/>
      <x:c r="B51" s="97"/>
      <x:c r="C51" s="59" t="str">
        <x:f t="shared" si="14"/>
        <x:v>S*</x:v>
      </x:c>
      <x:c r="D51" s="60" t="n">
        <x:f>(1.25/1.35)*(D50/SQRT(COUNTA('INPUT Data'!E76:E95)))</x:f>
        <x:v>0</x:v>
      </x:c>
      <x:c r="E51" s="60" t="n">
        <x:f>(1.25/1.35)*(E50/SQRT(COUNTA('INPUT Data'!F76:F95)))</x:f>
        <x:v>0</x:v>
      </x:c>
      <x:c r="F51" s="60" t="n">
        <x:f>(1.25/1.35)*(F50/SQRT(COUNTA('INPUT Data'!G76:G95)))</x:f>
        <x:v>0</x:v>
      </x:c>
      <x:c r="G51" s="60" t="n">
        <x:f>(1.25/1.35)*(G50/SQRT(COUNTA('INPUT Data'!H76:H95)))</x:f>
        <x:v>0.654728501098655</x:v>
      </x:c>
      <x:c r="H51" s="60" t="n">
        <x:f>(1.25/1.35)*(H50/SQRT(COUNTA('INPUT Data'!I76:I95)))</x:f>
        <x:v>0</x:v>
      </x:c>
      <x:c r="I51" s="60" t="n">
        <x:f>(1.25/1.35)*(I50/SQRT(COUNTA('INPUT Data'!J76:J95)))</x:f>
        <x:v>0</x:v>
      </x:c>
      <x:c r="J51" s="60" t="n">
        <x:f>(1.25/1.35)*(J50/SQRT(COUNTA('INPUT Data'!K76:K95)))</x:f>
        <x:v>0.9820927516479825</x:v>
      </x:c>
      <x:c r="K51" s="60" t="n">
        <x:f>(1.25/1.35)*(K50/SQRT(COUNTA('INPUT Data'!L76:L95)))</x:f>
        <x:v>0</x:v>
      </x:c>
      <x:c r="L51" s="83" t="n">
        <x:f>(1.25/1.35)*(L50/SQRT(COUNTA('INPUT Data'!M76:M95)))</x:f>
        <x:v>0</x:v>
      </x:c>
      <x:c r="O51" s="51"/>
    </x:row>
    <x:row r="52" ht="27.75" customHeight="1">
      <x:c r="A52" s="28"/>
      <x:c r="B52" s="97"/>
      <x:c r="C52" s="57" t="str">
        <x:f t="shared" si="14"/>
        <x:v>CVr%</x:v>
      </x:c>
      <x:c r="D52" s="61" t="str">
        <x:f>IFERROR((D51/D47)*100,"")</x:f>
      </x:c>
      <x:c r="E52" s="61" t="str">
        <x:f t="shared" ref="E52:L52" si="15">IFERROR((E51/E47)*100,"")</x:f>
      </x:c>
      <x:c r="F52" s="61" t="str">
        <x:f t="shared" si="15"/>
      </x:c>
      <x:c r="G52" s="61">
        <x:f t="shared" si="15"/>
        <x:v>0</x:v>
      </x:c>
      <x:c r="H52" s="61" t="str">
        <x:f t="shared" si="15"/>
      </x:c>
      <x:c r="I52" s="61" t="str">
        <x:f t="shared" si="15"/>
      </x:c>
      <x:c r="J52" s="61">
        <x:f t="shared" si="15"/>
        <x:v>0</x:v>
      </x:c>
      <x:c r="K52" s="61" t="str">
        <x:f t="shared" si="15"/>
      </x:c>
      <x:c r="L52" s="61" t="str">
        <x:f t="shared" si="15"/>
      </x:c>
      <x:c r="O52" s="51"/>
    </x:row>
    <x:row r="53" ht="27.75" customHeight="1">
      <x:c r="A53" s="28"/>
      <x:c r="B53" s="97"/>
      <x:c r="C53" s="59" t="str">
        <x:f t="shared" si="14"/>
        <x:v>Limite superiore IC</x:v>
      </x:c>
      <x:c r="D53" s="62" t="n">
        <x:f>D47+1.96*D51</x:f>
        <x:v>0</x:v>
      </x:c>
      <x:c r="E53" s="62" t="n">
        <x:f t="shared" ref="E53:L53" si="16">E47+1.96*E51</x:f>
        <x:v>0</x:v>
      </x:c>
      <x:c r="F53" s="62">
        <x:f t="shared" si="16"/>
        <x:v>0</x:v>
      </x:c>
      <x:c r="G53" s="62">
        <x:f t="shared" si="16"/>
        <x:v>2</x:v>
      </x:c>
      <x:c r="H53" s="62">
        <x:f t="shared" si="16"/>
        <x:v>0</x:v>
      </x:c>
      <x:c r="I53" s="62">
        <x:f t="shared" si="16"/>
        <x:v>0</x:v>
      </x:c>
      <x:c r="J53" s="62">
        <x:f t="shared" si="16"/>
        <x:v>3</x:v>
      </x:c>
      <x:c r="K53" s="62">
        <x:f t="shared" si="16"/>
        <x:v>0</x:v>
      </x:c>
      <x:c r="L53" s="84">
        <x:f t="shared" si="16"/>
        <x:v>0</x:v>
      </x:c>
      <x:c r="O53" s="51"/>
    </x:row>
    <x:row r="54" ht="27.75" customHeight="1">
      <x:c r="A54" s="28"/>
      <x:c r="B54" s="97"/>
      <x:c r="C54" s="59" t="str">
        <x:f t="shared" si="14"/>
        <x:v>Limite inferiore IC</x:v>
      </x:c>
      <x:c r="D54" s="62" t="n">
        <x:f>D47-1.96*D51</x:f>
        <x:v>0</x:v>
      </x:c>
      <x:c r="E54" s="62" t="n">
        <x:f t="shared" ref="E54:L54" si="17">E47-1.96*E51</x:f>
        <x:v>0</x:v>
      </x:c>
      <x:c r="F54" s="62">
        <x:f t="shared" si="17"/>
        <x:v>0</x:v>
      </x:c>
      <x:c r="G54" s="62">
        <x:f t="shared" si="17"/>
        <x:v>2</x:v>
      </x:c>
      <x:c r="H54" s="62">
        <x:f t="shared" si="17"/>
        <x:v>0</x:v>
      </x:c>
      <x:c r="I54" s="62">
        <x:f t="shared" si="17"/>
        <x:v>0</x:v>
      </x:c>
      <x:c r="J54" s="62">
        <x:f t="shared" si="17"/>
        <x:v>3</x:v>
      </x:c>
      <x:c r="K54" s="62">
        <x:f t="shared" si="17"/>
        <x:v>0</x:v>
      </x:c>
      <x:c r="L54" s="84">
        <x:f t="shared" si="17"/>
        <x:v>0</x:v>
      </x:c>
      <x:c r="O54" s="51"/>
    </x:row>
    <x:row r="55" ht="27.75" customHeight="1">
      <x:c r="A55" s="28"/>
      <x:c r="B55" s="98"/>
      <x:c r="C55" s="30" t="str">
        <x:f t="shared" si="14"/>
        <x:v> </x:v>
      </x:c>
      <x:c r="D55" s="56"/>
      <x:c r="E55" s="56"/>
      <x:c r="F55" s="56"/>
      <x:c r="G55" s="56"/>
      <x:c r="H55" s="56"/>
      <x:c r="I55" s="56"/>
      <x:c r="J55" s="56"/>
      <x:c r="K55" s="56"/>
      <x:c r="L55" s="107"/>
      <x:c r="O55" s="51"/>
    </x:row>
    <x:row r="56" ht="27.75" customHeight="1">
      <x:c r="A56" s="28"/>
      <x:c r="B56" s="98"/>
      <x:c r="L56" s="85"/>
      <x:c r="O56" s="51"/>
    </x:row>
    <x:row r="57" ht="27.75" customHeight="1">
      <x:c r="A57" s="28"/>
      <x:c r="B57" s="99"/>
      <x:c r="C57" s="66" t="str">
        <x:f>IF($M47&gt;6,"Lampant",IF($M47&gt;3.5,"Ordinary",IF($M47&gt;0,"Virgin","Extra Virgin")))</x:f>
        <x:v>Virgin</x:v>
      </x:c>
      <x:c r="D57" s="66" t="str">
        <x:f>IF($M47&gt;3.5,"Lampant",IF($M47&gt;0,"Virgin","Extra Virgin"))</x:f>
        <x:v>Virgin</x:v>
      </x:c>
      <x:c r="E57" s="63"/>
      <x:c r="F57" s="63"/>
      <x:c r="G57" s="63"/>
      <x:c r="H57" s="63"/>
      <x:c r="I57" s="63"/>
      <x:c r="J57" s="63"/>
      <x:c r="K57" s="64"/>
      <x:c r="L57" s="86"/>
      <x:c r="N57" s="68" t="str">
        <x:f>IF($J47=0,"Ordinary",$C57)</x:f>
        <x:v>Virgin</x:v>
      </x:c>
      <x:c r="O57" s="51"/>
      <x:c r="P57" s="69" t="str">
        <x:f>IF($J47=0,"Lampant",$D57)</x:f>
        <x:v>Virgin</x:v>
      </x:c>
    </x:row>
    <x:row r="58" ht="27.75" customHeight="1">
      <x:c r="A58" s="28"/>
      <x:c r="L58" s="85"/>
      <x:c r="O58" s="51"/>
    </x:row>
    <x:row r="59" s="92" customFormat="1" ht="27.75" customHeight="1">
      <x:c r="A59" s="87"/>
      <x:c r="B59" s="88" t="str">
        <x:f>B6</x:f>
        <x:v>Campione</x:v>
      </x:c>
      <x:c r="C59" s="89"/>
      <x:c r="D59" s="89" t="str">
        <x:f t="shared" ref="D59:L59" si="18">D6</x:f>
        <x:v>Riscaldo / Morchia</x:v>
      </x:c>
      <x:c r="E59" s="89" t="str">
        <x:f t="shared" si="18"/>
        <x:v>Muffa / Umidità / Terra</x:v>
      </x:c>
      <x:c r="F59" s="89" t="str">
        <x:f t="shared" si="18"/>
        <x:v>Avvinato / Inacetito / Acido / Agro</x:v>
      </x:c>
      <x:c r="G59" s="89" t="str">
        <x:f t="shared" si="18"/>
        <x:v>Olive gelate (legno umido)</x:v>
      </x:c>
      <x:c r="H59" s="89" t="str">
        <x:f t="shared" si="18"/>
        <x:v>Rancido</x:v>
      </x:c>
      <x:c r="I59" s="89" t="str">
        <x:f t="shared" si="18"/>
        <x:v>Altro attributo negativo</x:v>
      </x:c>
      <x:c r="J59" s="89" t="str">
        <x:f t="shared" si="18"/>
        <x:v>Fruttato</x:v>
      </x:c>
      <x:c r="K59" s="89" t="str">
        <x:f t="shared" si="18"/>
        <x:v>Amaro</x:v>
      </x:c>
      <x:c r="L59" s="90" t="str">
        <x:f t="shared" si="18"/>
        <x:v>Piccante</x:v>
      </x:c>
      <x:c r="M59" s="91"/>
      <x:c r="O59" s="93"/>
    </x:row>
    <x:row r="60" ht="27.75" customHeight="1">
      <x:c r="A60" s="28" t="str">
        <x:f>'INPUT Data'!A98</x:f>
        <x:v>Campione 5</x:v>
      </x:c>
      <x:c r="B60" s="97" t="n">
        <x:f>'INPUT Data'!C99</x:f>
        <x:v>0</x:v>
      </x:c>
      <x:c r="C60" s="57" t="str">
        <x:f>C7</x:f>
        <x:v>Mediana</x:v>
      </x:c>
      <x:c r="D60" s="58" t="n">
        <x:f>MEDIAN('INPUT Data'!E99:'INPUT Data'!E118)</x:f>
        <x:v>0</x:v>
      </x:c>
      <x:c r="E60" s="58" t="n">
        <x:f>MEDIAN('INPUT Data'!F99:'INPUT Data'!F118)</x:f>
        <x:v>0</x:v>
      </x:c>
      <x:c r="F60" s="58" t="n">
        <x:f>MEDIAN('INPUT Data'!G99:'INPUT Data'!G118)</x:f>
        <x:v>0</x:v>
      </x:c>
      <x:c r="G60" s="58" t="n">
        <x:f>MEDIAN('INPUT Data'!H99:'INPUT Data'!H118)</x:f>
        <x:v>0</x:v>
      </x:c>
      <x:c r="H60" s="58" t="n">
        <x:f>MEDIAN('INPUT Data'!I99:'INPUT Data'!I118)</x:f>
        <x:v>0</x:v>
      </x:c>
      <x:c r="I60" s="58" t="n">
        <x:f>MEDIAN('INPUT Data'!J99:'INPUT Data'!J118)</x:f>
        <x:v>0</x:v>
      </x:c>
      <x:c r="J60" s="58" t="n">
        <x:f>MEDIAN('INPUT Data'!K99:'INPUT Data'!K118)</x:f>
        <x:v>3</x:v>
      </x:c>
      <x:c r="K60" s="58" t="n">
        <x:f>MEDIAN('INPUT Data'!L99:'INPUT Data'!L118)</x:f>
        <x:v>0</x:v>
      </x:c>
      <x:c r="L60" s="82" t="n">
        <x:f>MEDIAN('INPUT Data'!M99:'INPUT Data'!M118)</x:f>
        <x:v>0</x:v>
      </x:c>
      <x:c r="M60" s="55" t="n">
        <x:f>MAX(D60:I60)</x:f>
        <x:v>0</x:v>
      </x:c>
      <x:c r="O60" s="51"/>
    </x:row>
    <x:row r="61" ht="27.75" customHeight="1">
      <x:c r="A61" s="28" t="s">
        <x:v>28</x:v>
      </x:c>
      <x:c r="B61" s="106"/>
      <x:c r="C61" s="102" t="str">
        <x:v>Media</x:v>
      </x:c>
      <x:c r="D61" s="103" t="n">
        <x:f>AVERAGE('INPUT Data'!E99:'INPUT Data'!E118)</x:f>
        <x:v>0</x:v>
      </x:c>
      <x:c r="E61" s="103" t="n">
        <x:f>AVERAGE('INPUT Data'!F99:'INPUT Data'!F118)</x:f>
        <x:v>0</x:v>
      </x:c>
      <x:c r="F61" s="103" t="n">
        <x:f>AVERAGE('INPUT Data'!G99:'INPUT Data'!G118)</x:f>
        <x:v>0</x:v>
      </x:c>
      <x:c r="G61" s="103" t="n">
        <x:f>AVERAGE('INPUT Data'!H99:'INPUT Data'!H118)</x:f>
        <x:v>0</x:v>
      </x:c>
      <x:c r="H61" s="103" t="n">
        <x:f>AVERAGE('INPUT Data'!I99:'INPUT Data'!I118)</x:f>
        <x:v>0</x:v>
      </x:c>
      <x:c r="I61" s="103" t="n">
        <x:f>AVERAGE('INPUT Data'!J99:'INPUT Data'!J118)</x:f>
        <x:v>0.25</x:v>
      </x:c>
      <x:c r="J61" s="103" t="n">
        <x:f>AVERAGE('INPUT Data'!K99:'INPUT Data'!K118)</x:f>
        <x:v>3</x:v>
      </x:c>
      <x:c r="K61" s="103" t="n">
        <x:f>AVERAGE('INPUT Data'!L99:'INPUT Data'!L118)</x:f>
        <x:v>0</x:v>
      </x:c>
      <x:c r="L61" s="103" t="n">
        <x:f>AVERAGE('INPUT Data'!M99:'INPUT Data'!M118)</x:f>
        <x:v>0</x:v>
      </x:c>
      <x:c r="M61" s="55"/>
      <x:c r="O61" s="51"/>
    </x:row>
    <x:row r="62" ht="27.75" customHeight="1">
      <x:c r="A62" s="28"/>
      <x:c r="B62" s="106"/>
      <x:c r="C62" s="105" t="str">
        <x:v>Deviazione standard</x:v>
      </x:c>
      <x:c r="D62" s="103" t="n">
        <x:f>_xlfn.STDEV.S('INPUT Data'!E99:'INPUT Data'!E118)</x:f>
        <x:v>0</x:v>
      </x:c>
      <x:c r="E62" s="103" t="n">
        <x:f>_xlfn.STDEV.S('INPUT Data'!F99:'INPUT Data'!F118)</x:f>
        <x:v>0</x:v>
      </x:c>
      <x:c r="F62" s="103" t="n">
        <x:f>_xlfn.STDEV.S('INPUT Data'!G99:'INPUT Data'!G118)</x:f>
        <x:v>0</x:v>
      </x:c>
      <x:c r="G62" s="103" t="n">
        <x:f>_xlfn.STDEV.S('INPUT Data'!H99:'INPUT Data'!H118)</x:f>
        <x:v>0</x:v>
      </x:c>
      <x:c r="H62" s="103" t="n">
        <x:f>_xlfn.STDEV.S('INPUT Data'!I99:'INPUT Data'!I118)</x:f>
        <x:v>0</x:v>
      </x:c>
      <x:c r="I62" s="103" t="n">
        <x:f>_xlfn.STDEV.S('INPUT Data'!J99:'INPUT Data'!J118)</x:f>
        <x:v>0.4629100498862757</x:v>
      </x:c>
      <x:c r="J62" s="103" t="n">
        <x:f>_xlfn.STDEV.S('INPUT Data'!K99:'INPUT Data'!K118)</x:f>
        <x:v>0</x:v>
      </x:c>
      <x:c r="K62" s="103" t="n">
        <x:f>_xlfn.STDEV.S('INPUT Data'!L99:'INPUT Data'!L118)</x:f>
        <x:v>0</x:v>
      </x:c>
      <x:c r="L62" s="103" t="n">
        <x:f>_xlfn.STDEV.S('INPUT Data'!M99:'INPUT Data'!M118)</x:f>
        <x:v>0</x:v>
      </x:c>
      <x:c r="M62" s="55"/>
      <x:c r="O62" s="51"/>
    </x:row>
    <x:row r="63" ht="27.75" customHeight="1">
      <x:c r="B63" s="97"/>
      <x:c r="C63" s="59" t="str">
        <x:f t="shared" ref="C63:C68" si="19">C10</x:f>
        <x:v>Intervallo interquartile</x:v>
      </x:c>
      <x:c r="D63" s="60" t="n">
        <x:f>PERCENTILE('INPUT Data'!E99:'INPUT Data'!E118,0.75)-PERCENTILE('INPUT Data'!E99:'INPUT Data'!E118,0.25)</x:f>
        <x:v>0</x:v>
      </x:c>
      <x:c r="E63" s="60" t="n">
        <x:f>PERCENTILE('INPUT Data'!F99:'INPUT Data'!F118,0.75)-PERCENTILE('INPUT Data'!F99:'INPUT Data'!F118,0.25)</x:f>
        <x:v>0</x:v>
      </x:c>
      <x:c r="F63" s="60" t="n">
        <x:f>PERCENTILE('INPUT Data'!G99:'INPUT Data'!G118,0.75)-PERCENTILE('INPUT Data'!G99:'INPUT Data'!G118,0.25)</x:f>
        <x:v>0</x:v>
      </x:c>
      <x:c r="G63" s="60" t="n">
        <x:f>PERCENTILE('INPUT Data'!H99:'INPUT Data'!H118,0.75)-PERCENTILE('INPUT Data'!H99:'INPUT Data'!H118,0.25)</x:f>
        <x:v>0</x:v>
      </x:c>
      <x:c r="H63" s="60" t="n">
        <x:f>PERCENTILE('INPUT Data'!I99:'INPUT Data'!I118,0.75)-PERCENTILE('INPUT Data'!I99:'INPUT Data'!I118,0.25)</x:f>
        <x:v>0</x:v>
      </x:c>
      <x:c r="I63" s="60" t="n">
        <x:f>PERCENTILE('INPUT Data'!J99:'INPUT Data'!J118,0.75)-PERCENTILE('INPUT Data'!J99:'INPUT Data'!J118,0.25)</x:f>
        <x:v>0</x:v>
      </x:c>
      <x:c r="J63" s="60" t="n">
        <x:f>PERCENTILE('INPUT Data'!K99:'INPUT Data'!K118,0.75)-PERCENTILE('INPUT Data'!K99:'INPUT Data'!K118,0.25)</x:f>
        <x:v>3</x:v>
      </x:c>
      <x:c r="K63" s="60" t="n">
        <x:f>PERCENTILE('INPUT Data'!L99:'INPUT Data'!L118,0.75)-PERCENTILE('INPUT Data'!L99:'INPUT Data'!L118,0.25)</x:f>
        <x:v>0</x:v>
      </x:c>
      <x:c r="L63" s="83" t="n">
        <x:f>PERCENTILE('INPUT Data'!M99:'INPUT Data'!M118,0.75)-PERCENTILE('INPUT Data'!M99:'INPUT Data'!M118,0.25)</x:f>
        <x:v>0</x:v>
      </x:c>
      <x:c r="O63" s="51"/>
    </x:row>
    <x:row r="64" ht="27.75" customHeight="1">
      <x:c r="A64" s="28"/>
      <x:c r="B64" s="97"/>
      <x:c r="C64" s="59" t="str">
        <x:f t="shared" si="19"/>
        <x:v>S*</x:v>
      </x:c>
      <x:c r="D64" s="60" t="n">
        <x:f>(1.25/1.35)*(D63/SQRT(COUNTA('INPUT Data'!E99:E118)))</x:f>
        <x:v>0</x:v>
      </x:c>
      <x:c r="E64" s="60" t="n">
        <x:f>(1.25/1.35)*(E63/SQRT(COUNTA('INPUT Data'!F99:F118)))</x:f>
        <x:v>0</x:v>
      </x:c>
      <x:c r="F64" s="60" t="n">
        <x:f>(1.25/1.35)*(F63/SQRT(COUNTA('INPUT Data'!G99:G118)))</x:f>
        <x:v>0</x:v>
      </x:c>
      <x:c r="G64" s="60" t="n">
        <x:f>(1.25/1.35)*(G63/SQRT(COUNTA('INPUT Data'!H99:H118)))</x:f>
        <x:v>0</x:v>
      </x:c>
      <x:c r="H64" s="60" t="n">
        <x:f>(1.25/1.35)*(H63/SQRT(COUNTA('INPUT Data'!I99:I118)))</x:f>
        <x:v>0</x:v>
      </x:c>
      <x:c r="I64" s="60" t="n">
        <x:f>(1.25/1.35)*(I63/SQRT(COUNTA('INPUT Data'!J99:J118)))</x:f>
        <x:v>0</x:v>
      </x:c>
      <x:c r="J64" s="60" t="n">
        <x:f>(1.25/1.35)*(J63/SQRT(COUNTA('INPUT Data'!K99:K118)))</x:f>
        <x:v>0.9820927516479825</x:v>
      </x:c>
      <x:c r="K64" s="60" t="n">
        <x:f>(1.25/1.35)*(K63/SQRT(COUNTA('INPUT Data'!L99:L118)))</x:f>
        <x:v>0</x:v>
      </x:c>
      <x:c r="L64" s="83" t="n">
        <x:f>(1.25/1.35)*(L63/SQRT(COUNTA('INPUT Data'!M99:M118)))</x:f>
        <x:v>0</x:v>
      </x:c>
      <x:c r="O64" s="51"/>
    </x:row>
    <x:row r="65" ht="27.75" customHeight="1">
      <x:c r="A65" s="28"/>
      <x:c r="B65" s="97"/>
      <x:c r="C65" s="57" t="str">
        <x:f t="shared" si="19"/>
        <x:v>CVr%</x:v>
      </x:c>
      <x:c r="D65" s="61" t="str">
        <x:f>IFERROR((D64/D60)*100,"")</x:f>
      </x:c>
      <x:c r="E65" s="61" t="str">
        <x:f t="shared" ref="E65:L65" si="20">IFERROR((E64/E60)*100,"")</x:f>
      </x:c>
      <x:c r="F65" s="61" t="str">
        <x:f t="shared" si="20"/>
      </x:c>
      <x:c r="G65" s="61" t="str">
        <x:f t="shared" si="20"/>
      </x:c>
      <x:c r="H65" s="61" t="str">
        <x:f t="shared" si="20"/>
      </x:c>
      <x:c r="I65" s="61" t="str">
        <x:f t="shared" si="20"/>
      </x:c>
      <x:c r="J65" s="61">
        <x:f t="shared" si="20"/>
        <x:v>0</x:v>
      </x:c>
      <x:c r="K65" s="61" t="str">
        <x:f t="shared" si="20"/>
      </x:c>
      <x:c r="L65" s="61" t="str">
        <x:f t="shared" si="20"/>
      </x:c>
      <x:c r="O65" s="51"/>
    </x:row>
    <x:row r="66" ht="27.75" customHeight="1">
      <x:c r="A66" s="28"/>
      <x:c r="B66" s="97"/>
      <x:c r="C66" s="59" t="str">
        <x:f t="shared" si="19"/>
        <x:v>Limite superiore IC</x:v>
      </x:c>
      <x:c r="D66" s="62" t="n">
        <x:f>D60+1.96*D64</x:f>
        <x:v>0</x:v>
      </x:c>
      <x:c r="E66" s="62" t="n">
        <x:f t="shared" ref="E66:L66" si="21">E60+1.96*E64</x:f>
        <x:v>0</x:v>
      </x:c>
      <x:c r="F66" s="62">
        <x:f t="shared" si="21"/>
        <x:v>0</x:v>
      </x:c>
      <x:c r="G66" s="62">
        <x:f t="shared" si="21"/>
        <x:v>0</x:v>
      </x:c>
      <x:c r="H66" s="62">
        <x:f t="shared" si="21"/>
        <x:v>0</x:v>
      </x:c>
      <x:c r="I66" s="62">
        <x:f t="shared" si="21"/>
        <x:v>0.16040848276917047</x:v>
      </x:c>
      <x:c r="J66" s="62">
        <x:f t="shared" si="21"/>
        <x:v>3</x:v>
      </x:c>
      <x:c r="K66" s="62">
        <x:f t="shared" si="21"/>
        <x:v>0</x:v>
      </x:c>
      <x:c r="L66" s="84">
        <x:f t="shared" si="21"/>
        <x:v>0</x:v>
      </x:c>
      <x:c r="O66" s="51"/>
    </x:row>
    <x:row r="67" ht="27.75" customHeight="1">
      <x:c r="A67" s="28"/>
      <x:c r="B67" s="97"/>
      <x:c r="C67" s="59" t="str">
        <x:f t="shared" si="19"/>
        <x:v>Limite inferiore IC</x:v>
      </x:c>
      <x:c r="D67" s="62" t="n">
        <x:f>D60-1.96*D64</x:f>
        <x:v>0</x:v>
      </x:c>
      <x:c r="E67" s="62" t="n">
        <x:f t="shared" ref="E67:L67" si="22">E60-1.96*E64</x:f>
        <x:v>0</x:v>
      </x:c>
      <x:c r="F67" s="62">
        <x:f t="shared" si="22"/>
        <x:v>0</x:v>
      </x:c>
      <x:c r="G67" s="62">
        <x:f t="shared" si="22"/>
        <x:v>0</x:v>
      </x:c>
      <x:c r="H67" s="62">
        <x:f t="shared" si="22"/>
        <x:v>0</x:v>
      </x:c>
      <x:c r="I67" s="62">
        <x:f t="shared" si="22"/>
        <x:v>-0.16040848276917047</x:v>
      </x:c>
      <x:c r="J67" s="62">
        <x:f t="shared" si="22"/>
        <x:v>3</x:v>
      </x:c>
      <x:c r="K67" s="62">
        <x:f t="shared" si="22"/>
        <x:v>0</x:v>
      </x:c>
      <x:c r="L67" s="84">
        <x:f t="shared" si="22"/>
        <x:v>0</x:v>
      </x:c>
      <x:c r="O67" s="51"/>
    </x:row>
    <x:row r="68" ht="27.75" customHeight="1">
      <x:c r="A68" s="28"/>
      <x:c r="B68" s="98"/>
      <x:c r="C68" s="30" t="str">
        <x:f t="shared" si="19"/>
        <x:v> </x:v>
      </x:c>
      <x:c r="D68" s="56"/>
      <x:c r="E68" s="56"/>
      <x:c r="F68" s="56"/>
      <x:c r="G68" s="56"/>
      <x:c r="H68" s="56"/>
      <x:c r="I68" s="56"/>
      <x:c r="J68" s="56"/>
      <x:c r="K68" s="56"/>
      <x:c r="L68" s="107"/>
      <x:c r="O68" s="51"/>
    </x:row>
    <x:row r="69" ht="27.75" customHeight="1">
      <x:c r="A69" s="28"/>
      <x:c r="B69" s="98"/>
      <x:c r="L69" s="85"/>
      <x:c r="O69" s="51"/>
    </x:row>
    <x:row r="70" ht="27.75" customHeight="1">
      <x:c r="A70" s="28"/>
      <x:c r="B70" s="99"/>
      <x:c r="C70" s="66" t="str">
        <x:f>IF($M60&gt;6,"Lampant",IF($M60&gt;3.5,"Ordinary",IF($M60&gt;0,"Virgin","Extra Virgin")))</x:f>
        <x:v>Extra Virgin</x:v>
      </x:c>
      <x:c r="D70" s="66" t="str">
        <x:f>IF($M60&gt;3.5,"Lampant",IF($M60&gt;0,"Virgin","Extra Virgin"))</x:f>
        <x:v>Extra Virgin</x:v>
      </x:c>
      <x:c r="E70" s="63"/>
      <x:c r="F70" s="63"/>
      <x:c r="G70" s="63"/>
      <x:c r="H70" s="63"/>
      <x:c r="I70" s="63"/>
      <x:c r="J70" s="63"/>
      <x:c r="K70" s="64"/>
      <x:c r="L70" s="86"/>
      <x:c r="N70" s="68" t="str">
        <x:f>IF($J60=0,"Ordinary",$C70)</x:f>
        <x:v>Extra Virgin</x:v>
      </x:c>
      <x:c r="O70" s="51"/>
      <x:c r="P70" s="69" t="str">
        <x:f>IF($J60=0,"Lampant",$D70)</x:f>
        <x:v>Extra Virgin</x:v>
      </x:c>
    </x:row>
    <x:row r="71" ht="27.75" customHeight="1">
      <x:c r="A71" s="28"/>
      <x:c r="L71" s="65"/>
    </x:row>
    <x:row r="72" ht="27.75" customHeight="1"/>
  </x:sheetData>
  <x:pageMargins left="0.7" right="0.7" top="0.75" bottom="0.75" header="0.3" footer="0.3"/>
  <x:drawing xmlns:r="http://schemas.openxmlformats.org/officeDocument/2006/relationships" r:id="Raf1f9d36efdb489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76171875" defaultRowHeight="12.75"/>
  <x:cols>
    <x:col min="1" max="1" width="6.47265625" customWidth="1"/>
    <x:col min="2" max="2" width="7.14453125" customWidth="1"/>
    <x:col min="3" max="3" width="8.76171875" customWidth="1"/>
    <x:col min="4" max="4" width="7.4140625" customWidth="1"/>
    <x:col min="5" max="5" width="26.8359375" customWidth="1"/>
    <x:col min="6" max="6" width="22.7890625" customWidth="1"/>
    <x:col min="7" max="7" width="28.85546875" customWidth="1"/>
    <x:col min="8" max="8" width="32.2265625" customWidth="1"/>
    <x:col min="9" max="9" width="9.16796875" customWidth="1"/>
    <x:col min="10" max="10" width="27.5078125" customWidth="1"/>
    <x:col min="11" max="12" width="7.4140625" customWidth="1"/>
    <x:col min="13" max="13" width="10.515625" customWidth="1"/>
    <x:col min="14" max="14" width="14.0234375" customWidth="1"/>
    <x:col min="15" max="15" width="9.9765625" style="12" customWidth="1"/>
    <x:col min="16" max="16" width="14.29296875" customWidth="1"/>
    <x:col min="17" max="19" width="9.4375" customWidth="1"/>
  </x:cols>
  <x:sheetData>
    <x:row r="1" s="78" customFormat="1" ht="37.5" customHeight="1">
      <x:c r="A1" s="317" t="s">
        <x:v>29</x:v>
      </x:c>
      <x:c r="B1" s="318" t="str">
        <x:f>'INPUT Data'!B6</x:f>
        <x:v>Panel</x:v>
      </x:c>
      <x:c r="C1" s="318" t="str">
        <x:f>'INPUT Data'!C6</x:f>
        <x:v>Campione</x:v>
      </x:c>
      <x:c r="D1" s="318" t="str">
        <x:f>'INPUT Data'!D6</x:f>
        <x:v>Assaggiatore</x:v>
      </x:c>
      <x:c r="E1" s="318" t="str">
        <x:f>'INPUT Data'!E6</x:f>
        <x:v>Riscaldo / Morchia</x:v>
      </x:c>
      <x:c r="F1" s="318" t="str">
        <x:f>'INPUT Data'!F6</x:f>
        <x:v>Muffa / Umidità / Terra</x:v>
      </x:c>
      <x:c r="G1" s="318" t="str">
        <x:f>'INPUT Data'!G6</x:f>
        <x:v>Avvinato / Inacetito / Acido / Agro</x:v>
      </x:c>
      <x:c r="H1" s="318" t="str">
        <x:f>'INPUT Data'!H6</x:f>
        <x:v>Olive gelate (legno umido)</x:v>
      </x:c>
      <x:c r="I1" s="318" t="str">
        <x:f>'INPUT Data'!I6</x:f>
        <x:v>Rancido</x:v>
      </x:c>
      <x:c r="J1" s="318" t="str">
        <x:f>'INPUT Data'!J6</x:f>
        <x:v>Altro attributo negativo</x:v>
      </x:c>
      <x:c r="K1" s="318" t="str">
        <x:f>'INPUT Data'!K6</x:f>
        <x:v>Fruttato</x:v>
      </x:c>
      <x:c r="L1" s="318" t="str">
        <x:f>'INPUT Data'!L6</x:f>
        <x:v>Amaro</x:v>
      </x:c>
      <x:c r="M1" s="318" t="str">
        <x:f>'INPUT Data'!M6</x:f>
        <x:v>Piccante</x:v>
      </x:c>
      <x:c r="N1" s="319" t="s">
        <x:v>30</x:v>
      </x:c>
      <x:c r="O1" s="319" t="s">
        <x:v>31</x:v>
      </x:c>
      <x:c r="P1" s="320" t="str">
        <x:v>Commento*</x:v>
      </x:c>
    </x:row>
    <x:row r="2" s="11" customFormat="1" ht="17.100000381469727" customHeight="1">
      <x:c r="A2" s="13"/>
      <x:c r="B2" s="14" t="n">
        <x:f>'INPUT Data'!B7</x:f>
        <x:v>0</x:v>
      </x:c>
      <x:c r="C2" s="14" t="n">
        <x:f>'INPUT Data'!C7</x:f>
        <x:v>0</x:v>
      </x:c>
      <x:c r="D2" s="14" t="s">
        <x:v>4</x:v>
      </x:c>
      <x:c r="E2" s="15" t="n">
        <x:f>1+(('INPUT Data'!E7-'INPUT Data'!E99)^2)/2</x:f>
        <x:v>1</x:v>
      </x:c>
      <x:c r="F2" s="15" t="n">
        <x:f>1+(('INPUT Data'!F7-'INPUT Data'!F99)^2)/2</x:f>
        <x:v>1</x:v>
      </x:c>
      <x:c r="G2" s="15" t="n">
        <x:f>1+(('INPUT Data'!G7-'INPUT Data'!G99)^2)/2</x:f>
        <x:v>2.445</x:v>
      </x:c>
      <x:c r="H2" s="15" t="n">
        <x:f>1+(('INPUT Data'!H7-'INPUT Data'!H99)^2)/2</x:f>
        <x:v>1</x:v>
      </x:c>
      <x:c r="I2" s="15" t="n">
        <x:f>1+(('INPUT Data'!I7-'INPUT Data'!I99)^2)/2</x:f>
        <x:v>13.5</x:v>
      </x:c>
      <x:c r="J2" s="15" t="n">
        <x:f>1+(('INPUT Data'!J7-'INPUT Data'!J99)^2)/2</x:f>
        <x:v>1</x:v>
      </x:c>
      <x:c r="K2" s="15" t="n">
        <x:f>1+(('INPUT Data'!K7-'INPUT Data'!K99)^2)/2</x:f>
        <x:v>1.6049999999999995</x:v>
      </x:c>
      <x:c r="L2" s="15" t="n">
        <x:f>1+(('INPUT Data'!L7-'INPUT Data'!L99)^2)/2</x:f>
        <x:v>3.88</x:v>
      </x:c>
      <x:c r="M2" s="15" t="n">
        <x:f>1+(('INPUT Data'!M7-'INPUT Data'!M99)^2)/2</x:f>
        <x:v>7.48</x:v>
      </x:c>
      <x:c r="N2" s="71" t="n">
        <x:f>MEDIAN(E2:M2)</x:f>
        <x:v>1.6049999999999995</x:v>
      </x:c>
      <x:c r="O2" s="72" t="n">
        <x:f>MAX(E2:M2)</x:f>
        <x:v>13.5</x:v>
      </x:c>
      <x:c r="P2" s="16" t="str">
        <x:f>IF(O2&lt;=3,"OK!","Judge Training")</x:f>
        <x:v>Judge Training</x:v>
      </x:c>
    </x:row>
    <x:row r="3" s="11" customFormat="1" ht="17.100000381469727" customHeight="1">
      <x:c r="A3" s="13"/>
      <x:c r="B3" s="14"/>
      <x:c r="C3" s="14" t="n">
        <x:f>'INPUT Data'!C99</x:f>
        <x:v>0</x:v>
      </x:c>
      <x:c r="D3" s="14" t="s">
        <x:v>5</x:v>
      </x:c>
      <x:c r="E3" s="15" t="n">
        <x:f>1+(('INPUT Data'!E8-'INPUT Data'!E100)^2)/2</x:f>
        <x:v>1</x:v>
      </x:c>
      <x:c r="F3" s="15" t="n">
        <x:f>1+(('INPUT Data'!F8-'INPUT Data'!F100)^2)/2</x:f>
        <x:v>1</x:v>
      </x:c>
      <x:c r="G3" s="15" t="n">
        <x:f>1+(('INPUT Data'!G8-'INPUT Data'!G100)^2)/2</x:f>
        <x:v>1</x:v>
      </x:c>
      <x:c r="H3" s="15" t="n">
        <x:f>1+(('INPUT Data'!H8-'INPUT Data'!H100)^2)/2</x:f>
        <x:v>1</x:v>
      </x:c>
      <x:c r="I3" s="15" t="n">
        <x:f>1+(('INPUT Data'!I8-'INPUT Data'!I100)^2)/2</x:f>
        <x:v>13.5</x:v>
      </x:c>
      <x:c r="J3" s="15" t="n">
        <x:f>1+(('INPUT Data'!J8-'INPUT Data'!J100)^2)/2</x:f>
        <x:v>1</x:v>
      </x:c>
      <x:c r="K3" s="15" t="n">
        <x:f>1+(('INPUT Data'!K8-'INPUT Data'!K100)^2)/2</x:f>
        <x:v>1</x:v>
      </x:c>
      <x:c r="L3" s="15" t="n">
        <x:f>1+(('INPUT Data'!L8-'INPUT Data'!L100)^2)/2</x:f>
        <x:v>5.5</x:v>
      </x:c>
      <x:c r="M3" s="15" t="n">
        <x:f>1+(('INPUT Data'!M8-'INPUT Data'!M100)^2)/2</x:f>
        <x:v>5.5</x:v>
      </x:c>
      <x:c r="N3" s="71" t="n">
        <x:f t="shared" ref="N3:N21" si="0">MEDIAN(E3:M3)</x:f>
        <x:v>1</x:v>
      </x:c>
      <x:c r="O3" s="72" t="n">
        <x:f t="shared" ref="O3:O21" si="1">MAX(E3:M3)</x:f>
        <x:v>13.5</x:v>
      </x:c>
      <x:c r="P3" s="16" t="str">
        <x:f t="shared" ref="P3:P21" si="2">IF(O3&lt;=3,"OK!","Judge Training")</x:f>
        <x:v>Judge Training</x:v>
      </x:c>
    </x:row>
    <x:row r="4" s="11" customFormat="1" ht="17.100000381469727" customHeight="1">
      <x:c r="A4" s="13"/>
      <x:c r="B4" s="14"/>
      <x:c r="C4" s="14"/>
      <x:c r="D4" s="14" t="s">
        <x:v>6</x:v>
      </x:c>
      <x:c r="E4" s="15" t="n">
        <x:f>1+(('INPUT Data'!E9-'INPUT Data'!E101)^2)/2</x:f>
        <x:v>1</x:v>
      </x:c>
      <x:c r="F4" s="15" t="n">
        <x:f>1+(('INPUT Data'!F9-'INPUT Data'!F101)^2)/2</x:f>
        <x:v>1</x:v>
      </x:c>
      <x:c r="G4" s="15" t="n">
        <x:f>1+(('INPUT Data'!G9-'INPUT Data'!G101)^2)/2</x:f>
        <x:v>1</x:v>
      </x:c>
      <x:c r="H4" s="15" t="n">
        <x:f>1+(('INPUT Data'!H9-'INPUT Data'!H101)^2)/2</x:f>
        <x:v>1</x:v>
      </x:c>
      <x:c r="I4" s="15" t="n">
        <x:f>1+(('INPUT Data'!I9-'INPUT Data'!I101)^2)/2</x:f>
        <x:v>13.5</x:v>
      </x:c>
      <x:c r="J4" s="15" t="n">
        <x:f>1+(('INPUT Data'!J9-'INPUT Data'!J101)^2)/2</x:f>
        <x:v>1</x:v>
      </x:c>
      <x:c r="K4" s="15" t="n">
        <x:f>1+(('INPUT Data'!K9-'INPUT Data'!K101)^2)/2</x:f>
        <x:v>1.245</x:v>
      </x:c>
      <x:c r="L4" s="15" t="n">
        <x:f>1+(('INPUT Data'!L9-'INPUT Data'!L101)^2)/2</x:f>
        <x:v>4.6450000000000005</x:v>
      </x:c>
      <x:c r="M4" s="15" t="n">
        <x:f>1+(('INPUT Data'!M9-'INPUT Data'!M101)^2)/2</x:f>
        <x:v>3.205</x:v>
      </x:c>
      <x:c r="N4" s="71">
        <x:f t="shared" si="0"/>
        <x:v>1</x:v>
      </x:c>
      <x:c r="O4" s="72">
        <x:f t="shared" si="1"/>
        <x:v>13.5</x:v>
      </x:c>
      <x:c r="P4" s="16" t="str">
        <x:f t="shared" si="2"/>
        <x:v>Formazione assaggiatore</x:v>
      </x:c>
    </x:row>
    <x:row r="5" s="11" customFormat="1" ht="17.100000381469727" customHeight="1">
      <x:c r="A5" s="13"/>
      <x:c r="B5" s="14"/>
      <x:c r="C5" s="14"/>
      <x:c r="D5" s="14" t="s">
        <x:v>7</x:v>
      </x:c>
      <x:c r="E5" s="15" t="n">
        <x:f>1+(('INPUT Data'!E10-'INPUT Data'!E102)^2)/2</x:f>
        <x:v>1</x:v>
      </x:c>
      <x:c r="F5" s="15" t="n">
        <x:f>1+(('INPUT Data'!F10-'INPUT Data'!F102)^2)/2</x:f>
        <x:v>1</x:v>
      </x:c>
      <x:c r="G5" s="15" t="n">
        <x:f>1+(('INPUT Data'!G10-'INPUT Data'!G102)^2)/2</x:f>
        <x:v>1</x:v>
      </x:c>
      <x:c r="H5" s="15" t="n">
        <x:f>1+(('INPUT Data'!H10-'INPUT Data'!H102)^2)/2</x:f>
        <x:v>1</x:v>
      </x:c>
      <x:c r="I5" s="15" t="n">
        <x:f>1+(('INPUT Data'!I10-'INPUT Data'!I102)^2)/2</x:f>
        <x:v>19</x:v>
      </x:c>
      <x:c r="J5" s="15" t="n">
        <x:f>1+(('INPUT Data'!J10-'INPUT Data'!J102)^2)/2</x:f>
        <x:v>1.5</x:v>
      </x:c>
      <x:c r="K5" s="15" t="n">
        <x:f>1+(('INPUT Data'!K10-'INPUT Data'!K102)^2)/2</x:f>
        <x:v>1</x:v>
      </x:c>
      <x:c r="L5" s="15" t="n">
        <x:f>1+(('INPUT Data'!L10-'INPUT Data'!L102)^2)/2</x:f>
        <x:v>2.62</x:v>
      </x:c>
      <x:c r="M5" s="15" t="n">
        <x:f>1+(('INPUT Data'!M10-'INPUT Data'!M102)^2)/2</x:f>
        <x:v>8.219999999999999</x:v>
      </x:c>
      <x:c r="N5" s="71">
        <x:f t="shared" si="0"/>
        <x:v>1</x:v>
      </x:c>
      <x:c r="O5" s="72">
        <x:f t="shared" si="1"/>
        <x:v>19</x:v>
      </x:c>
      <x:c r="P5" s="16" t="str">
        <x:f t="shared" si="2"/>
        <x:v>Formazione assaggiatore</x:v>
      </x:c>
    </x:row>
    <x:row r="6" s="11" customFormat="1" ht="17.100000381469727" customHeight="1">
      <x:c r="A6" s="13"/>
      <x:c r="B6" s="14"/>
      <x:c r="C6" s="14"/>
      <x:c r="D6" s="14" t="s">
        <x:v>8</x:v>
      </x:c>
      <x:c r="E6" s="15" t="n">
        <x:f>1+(('INPUT Data'!E11-'INPUT Data'!E103)^2)/2</x:f>
        <x:v>1</x:v>
      </x:c>
      <x:c r="F6" s="15" t="n">
        <x:f>1+(('INPUT Data'!F11-'INPUT Data'!F103)^2)/2</x:f>
        <x:v>1</x:v>
      </x:c>
      <x:c r="G6" s="15" t="n">
        <x:f>1+(('INPUT Data'!G11-'INPUT Data'!G103)^2)/2</x:f>
        <x:v>1</x:v>
      </x:c>
      <x:c r="H6" s="15" t="n">
        <x:f>1+(('INPUT Data'!H11-'INPUT Data'!H103)^2)/2</x:f>
        <x:v>1</x:v>
      </x:c>
      <x:c r="I6" s="15" t="n">
        <x:f>1+(('INPUT Data'!I11-'INPUT Data'!I103)^2)/2</x:f>
        <x:v>13.5</x:v>
      </x:c>
      <x:c r="J6" s="15" t="n">
        <x:f>1+(('INPUT Data'!J11-'INPUT Data'!J103)^2)/2</x:f>
        <x:v>1</x:v>
      </x:c>
      <x:c r="K6" s="15" t="n">
        <x:f>1+(('INPUT Data'!K11-'INPUT Data'!K103)^2)/2</x:f>
        <x:v>1.045</x:v>
      </x:c>
      <x:c r="L6" s="15" t="n">
        <x:f>1+(('INPUT Data'!L11-'INPUT Data'!L103)^2)/2</x:f>
        <x:v>4.92</x:v>
      </x:c>
      <x:c r="M6" s="15" t="n">
        <x:f>1+(('INPUT Data'!M11-'INPUT Data'!M103)^2)/2</x:f>
        <x:v>6.120000000000001</x:v>
      </x:c>
      <x:c r="N6" s="71">
        <x:f t="shared" si="0"/>
        <x:v>1</x:v>
      </x:c>
      <x:c r="O6" s="72">
        <x:f t="shared" si="1"/>
        <x:v>13.5</x:v>
      </x:c>
      <x:c r="P6" s="16" t="str">
        <x:f t="shared" si="2"/>
        <x:v>Formazione assaggiatore</x:v>
      </x:c>
    </x:row>
    <x:row r="7" s="11" customFormat="1" ht="17.100000381469727" customHeight="1">
      <x:c r="A7" s="13"/>
      <x:c r="B7" s="14"/>
      <x:c r="C7" s="14"/>
      <x:c r="D7" s="14" t="s">
        <x:v>9</x:v>
      </x:c>
      <x:c r="E7" s="15" t="n">
        <x:f>1+(('INPUT Data'!E12-'INPUT Data'!E104)^2)/2</x:f>
        <x:v>1</x:v>
      </x:c>
      <x:c r="F7" s="15" t="n">
        <x:f>1+(('INPUT Data'!F12-'INPUT Data'!F104)^2)/2</x:f>
        <x:v>1</x:v>
      </x:c>
      <x:c r="G7" s="15" t="n">
        <x:f>1+(('INPUT Data'!G12-'INPUT Data'!G104)^2)/2</x:f>
        <x:v>1</x:v>
      </x:c>
      <x:c r="H7" s="15" t="n">
        <x:f>1+(('INPUT Data'!H12-'INPUT Data'!H104)^2)/2</x:f>
        <x:v>1</x:v>
      </x:c>
      <x:c r="I7" s="15" t="n">
        <x:f>1+(('INPUT Data'!I12-'INPUT Data'!I104)^2)/2</x:f>
        <x:v>25.5</x:v>
      </x:c>
      <x:c r="J7" s="15" t="n">
        <x:f>1+(('INPUT Data'!J12-'INPUT Data'!J104)^2)/2</x:f>
        <x:v>1.5</x:v>
      </x:c>
      <x:c r="K7" s="15" t="n">
        <x:f>1+(('INPUT Data'!K12-'INPUT Data'!K104)^2)/2</x:f>
        <x:v>1</x:v>
      </x:c>
      <x:c r="L7" s="15" t="n">
        <x:f>1+(('INPUT Data'!L12-'INPUT Data'!L104)^2)/2</x:f>
        <x:v>11.125</x:v>
      </x:c>
      <x:c r="M7" s="15" t="n">
        <x:f>1+(('INPUT Data'!M12-'INPUT Data'!M104)^2)/2</x:f>
        <x:v>11.125</x:v>
      </x:c>
      <x:c r="N7" s="71">
        <x:f t="shared" si="0"/>
        <x:v>1</x:v>
      </x:c>
      <x:c r="O7" s="72">
        <x:f t="shared" si="1"/>
        <x:v>25.5</x:v>
      </x:c>
      <x:c r="P7" s="16" t="str">
        <x:f t="shared" si="2"/>
        <x:v>Formazione assaggiatore</x:v>
      </x:c>
    </x:row>
    <x:row r="8" s="11" customFormat="1" ht="17.100000381469727" customHeight="1">
      <x:c r="A8" s="13"/>
      <x:c r="B8" s="14"/>
      <x:c r="C8" s="14"/>
      <x:c r="D8" s="14" t="s">
        <x:v>10</x:v>
      </x:c>
      <x:c r="E8" s="15" t="n">
        <x:f>1+(('INPUT Data'!E13-'INPUT Data'!E105)^2)/2</x:f>
        <x:v>1</x:v>
      </x:c>
      <x:c r="F8" s="15" t="n">
        <x:f>1+(('INPUT Data'!F13-'INPUT Data'!F105)^2)/2</x:f>
        <x:v>1</x:v>
      </x:c>
      <x:c r="G8" s="15" t="n">
        <x:f>1+(('INPUT Data'!G13-'INPUT Data'!G105)^2)/2</x:f>
        <x:v>1</x:v>
      </x:c>
      <x:c r="H8" s="15" t="n">
        <x:f>1+(('INPUT Data'!H13-'INPUT Data'!H105)^2)/2</x:f>
        <x:v>1</x:v>
      </x:c>
      <x:c r="I8" s="15" t="n">
        <x:f>1+(('INPUT Data'!I13-'INPUT Data'!I105)^2)/2</x:f>
        <x:v>13.5</x:v>
      </x:c>
      <x:c r="J8" s="15" t="n">
        <x:f>1+(('INPUT Data'!J13-'INPUT Data'!J105)^2)/2</x:f>
        <x:v>1</x:v>
      </x:c>
      <x:c r="K8" s="15" t="n">
        <x:f>1+(('INPUT Data'!K13-'INPUT Data'!K105)^2)/2</x:f>
        <x:v>5.5</x:v>
      </x:c>
      <x:c r="L8" s="15" t="n">
        <x:f>1+(('INPUT Data'!L13-'INPUT Data'!L105)^2)/2</x:f>
        <x:v>1</x:v>
      </x:c>
      <x:c r="M8" s="15" t="n">
        <x:f>1+(('INPUT Data'!M13-'INPUT Data'!M105)^2)/2</x:f>
        <x:v>1</x:v>
      </x:c>
      <x:c r="N8" s="71">
        <x:f t="shared" si="0"/>
        <x:v>1</x:v>
      </x:c>
      <x:c r="O8" s="72">
        <x:f t="shared" si="1"/>
        <x:v>13.5</x:v>
      </x:c>
      <x:c r="P8" s="16" t="str">
        <x:f t="shared" si="2"/>
        <x:v>Formazione assaggiatore</x:v>
      </x:c>
    </x:row>
    <x:row r="9" s="11" customFormat="1" ht="17.100000381469727" customHeight="1">
      <x:c r="A9" s="13"/>
      <x:c r="B9" s="14"/>
      <x:c r="C9" s="14"/>
      <x:c r="D9" s="14" t="s">
        <x:v>11</x:v>
      </x:c>
      <x:c r="E9" s="15" t="n">
        <x:f>1+(('INPUT Data'!E14-'INPUT Data'!E106)^2)/2</x:f>
        <x:v>1</x:v>
      </x:c>
      <x:c r="F9" s="15" t="n">
        <x:f>1+(('INPUT Data'!F14-'INPUT Data'!F106)^2)/2</x:f>
        <x:v>1</x:v>
      </x:c>
      <x:c r="G9" s="15" t="n">
        <x:f>1+(('INPUT Data'!G14-'INPUT Data'!G106)^2)/2</x:f>
        <x:v>1</x:v>
      </x:c>
      <x:c r="H9" s="15" t="n">
        <x:f>1+(('INPUT Data'!H14-'INPUT Data'!H106)^2)/2</x:f>
        <x:v>1</x:v>
      </x:c>
      <x:c r="I9" s="15" t="n">
        <x:f>1+(('INPUT Data'!I14-'INPUT Data'!I106)^2)/2</x:f>
        <x:v>25.5</x:v>
      </x:c>
      <x:c r="J9" s="15" t="n">
        <x:f>1+(('INPUT Data'!J14-'INPUT Data'!J106)^2)/2</x:f>
        <x:v>1.2449999999999999</x:v>
      </x:c>
      <x:c r="K9" s="15" t="n">
        <x:f>1+(('INPUT Data'!K14-'INPUT Data'!K106)^2)/2</x:f>
        <x:v>5.5</x:v>
      </x:c>
      <x:c r="L9" s="15" t="n">
        <x:f>1+(('INPUT Data'!L14-'INPUT Data'!L106)^2)/2</x:f>
        <x:v>1</x:v>
      </x:c>
      <x:c r="M9" s="15" t="n">
        <x:f>1+(('INPUT Data'!M14-'INPUT Data'!M106)^2)/2</x:f>
        <x:v>1</x:v>
      </x:c>
      <x:c r="N9" s="71">
        <x:f t="shared" si="0"/>
        <x:v>1</x:v>
      </x:c>
      <x:c r="O9" s="72">
        <x:f t="shared" si="1"/>
        <x:v>25.5</x:v>
      </x:c>
      <x:c r="P9" s="16" t="str">
        <x:f t="shared" si="2"/>
        <x:v>Formazione assaggiatore</x:v>
      </x:c>
    </x:row>
    <x:row r="10" s="11" customFormat="1" ht="17.100000381469727" customHeight="1">
      <x:c r="A10" s="13"/>
      <x:c r="B10" s="14"/>
      <x:c r="C10" s="14"/>
      <x:c r="D10" s="14" t="s">
        <x:v>12</x:v>
      </x:c>
      <x:c r="E10" s="15" t="n">
        <x:f>1+(('INPUT Data'!E15-'INPUT Data'!E107)^2)/2</x:f>
        <x:v>1</x:v>
      </x:c>
      <x:c r="F10" s="15" t="n">
        <x:f>1+(('INPUT Data'!F15-'INPUT Data'!F107)^2)/2</x:f>
        <x:v>1</x:v>
      </x:c>
      <x:c r="G10" s="15" t="n">
        <x:f>1+(('INPUT Data'!G15-'INPUT Data'!G107)^2)/2</x:f>
        <x:v>1</x:v>
      </x:c>
      <x:c r="H10" s="15" t="n">
        <x:f>1+(('INPUT Data'!H15-'INPUT Data'!H107)^2)/2</x:f>
        <x:v>1</x:v>
      </x:c>
      <x:c r="I10" s="15" t="n">
        <x:f>1+(('INPUT Data'!I15-'INPUT Data'!I107)^2)/2</x:f>
        <x:v>1</x:v>
      </x:c>
      <x:c r="J10" s="15" t="n">
        <x:f>1+(('INPUT Data'!J15-'INPUT Data'!J107)^2)/2</x:f>
        <x:v>1</x:v>
      </x:c>
      <x:c r="K10" s="15" t="n">
        <x:f>1+(('INPUT Data'!K15-'INPUT Data'!K107)^2)/2</x:f>
        <x:v>1</x:v>
      </x:c>
      <x:c r="L10" s="15" t="n">
        <x:f>1+(('INPUT Data'!L15-'INPUT Data'!L107)^2)/2</x:f>
        <x:v>1</x:v>
      </x:c>
      <x:c r="M10" s="15" t="n">
        <x:f>1+(('INPUT Data'!M15-'INPUT Data'!M107)^2)/2</x:f>
        <x:v>1</x:v>
      </x:c>
      <x:c r="N10" s="71">
        <x:f t="shared" si="0"/>
        <x:v>1</x:v>
      </x:c>
      <x:c r="O10" s="72">
        <x:f t="shared" si="1"/>
        <x:v>1</x:v>
      </x:c>
      <x:c r="P10" s="16" t="str">
        <x:f t="shared" si="2"/>
        <x:v>OK!</x:v>
      </x:c>
    </x:row>
    <x:row r="11" s="11" customFormat="1" ht="17.100000381469727" customHeight="1">
      <x:c r="A11" s="13"/>
      <x:c r="B11" s="14"/>
      <x:c r="C11" s="14"/>
      <x:c r="D11" s="14" t="s">
        <x:v>13</x:v>
      </x:c>
      <x:c r="E11" s="15" t="n">
        <x:f>1+(('INPUT Data'!E16-'INPUT Data'!E108)^2)/2</x:f>
        <x:v>1</x:v>
      </x:c>
      <x:c r="F11" s="15" t="n">
        <x:f>1+(('INPUT Data'!F16-'INPUT Data'!F108)^2)/2</x:f>
        <x:v>1</x:v>
      </x:c>
      <x:c r="G11" s="15" t="n">
        <x:f>1+(('INPUT Data'!G16-'INPUT Data'!G108)^2)/2</x:f>
        <x:v>1</x:v>
      </x:c>
      <x:c r="H11" s="15" t="n">
        <x:f>1+(('INPUT Data'!H16-'INPUT Data'!H108)^2)/2</x:f>
        <x:v>1</x:v>
      </x:c>
      <x:c r="I11" s="15" t="n">
        <x:f>1+(('INPUT Data'!I16-'INPUT Data'!I108)^2)/2</x:f>
        <x:v>1</x:v>
      </x:c>
      <x:c r="J11" s="15" t="n">
        <x:f>1+(('INPUT Data'!J16-'INPUT Data'!J108)^2)/2</x:f>
        <x:v>1</x:v>
      </x:c>
      <x:c r="K11" s="15" t="n">
        <x:f>1+(('INPUT Data'!K16-'INPUT Data'!K108)^2)/2</x:f>
        <x:v>1</x:v>
      </x:c>
      <x:c r="L11" s="15" t="n">
        <x:f>1+(('INPUT Data'!L16-'INPUT Data'!L108)^2)/2</x:f>
        <x:v>1</x:v>
      </x:c>
      <x:c r="M11" s="15" t="n">
        <x:f>1+(('INPUT Data'!M16-'INPUT Data'!M108)^2)/2</x:f>
        <x:v>1</x:v>
      </x:c>
      <x:c r="N11" s="71">
        <x:f t="shared" si="0"/>
        <x:v>1</x:v>
      </x:c>
      <x:c r="O11" s="72">
        <x:f t="shared" si="1"/>
        <x:v>1</x:v>
      </x:c>
      <x:c r="P11" s="16" t="str">
        <x:f t="shared" si="2"/>
        <x:v>OK!</x:v>
      </x:c>
    </x:row>
    <x:row r="12" s="11" customFormat="1" ht="17.100000381469727" customHeight="1">
      <x:c r="A12" s="13"/>
      <x:c r="B12" s="14"/>
      <x:c r="C12" s="14"/>
      <x:c r="D12" s="14" t="s">
        <x:v>14</x:v>
      </x:c>
      <x:c r="E12" s="15" t="n">
        <x:f>1+(('INPUT Data'!E17-'INPUT Data'!E109)^2)/2</x:f>
        <x:v>1</x:v>
      </x:c>
      <x:c r="F12" s="15" t="n">
        <x:f>1+(('INPUT Data'!F17-'INPUT Data'!F109)^2)/2</x:f>
        <x:v>1</x:v>
      </x:c>
      <x:c r="G12" s="15" t="n">
        <x:f>1+(('INPUT Data'!G17-'INPUT Data'!G109)^2)/2</x:f>
        <x:v>1</x:v>
      </x:c>
      <x:c r="H12" s="15" t="n">
        <x:f>1+(('INPUT Data'!H17-'INPUT Data'!H109)^2)/2</x:f>
        <x:v>1</x:v>
      </x:c>
      <x:c r="I12" s="15" t="n">
        <x:f>1+(('INPUT Data'!I17-'INPUT Data'!I109)^2)/2</x:f>
        <x:v>1</x:v>
      </x:c>
      <x:c r="J12" s="15" t="n">
        <x:f>1+(('INPUT Data'!J17-'INPUT Data'!J109)^2)/2</x:f>
        <x:v>1</x:v>
      </x:c>
      <x:c r="K12" s="15" t="n">
        <x:f>1+(('INPUT Data'!K17-'INPUT Data'!K109)^2)/2</x:f>
        <x:v>1</x:v>
      </x:c>
      <x:c r="L12" s="15" t="n">
        <x:f>1+(('INPUT Data'!L17-'INPUT Data'!L109)^2)/2</x:f>
        <x:v>1</x:v>
      </x:c>
      <x:c r="M12" s="15" t="n">
        <x:f>1+(('INPUT Data'!M17-'INPUT Data'!M109)^2)/2</x:f>
        <x:v>1</x:v>
      </x:c>
      <x:c r="N12" s="71">
        <x:f t="shared" si="0"/>
        <x:v>1</x:v>
      </x:c>
      <x:c r="O12" s="72">
        <x:f t="shared" si="1"/>
        <x:v>1</x:v>
      </x:c>
      <x:c r="P12" s="16" t="str">
        <x:f t="shared" si="2"/>
        <x:v>OK!</x:v>
      </x:c>
    </x:row>
    <x:row r="13" s="11" customFormat="1" ht="17.100000381469727" customHeight="1">
      <x:c r="A13" s="13"/>
      <x:c r="B13" s="14"/>
      <x:c r="C13" s="14"/>
      <x:c r="D13" s="24" t="s">
        <x:v>15</x:v>
      </x:c>
      <x:c r="E13" s="15" t="n">
        <x:f>1+(('INPUT Data'!E18-'INPUT Data'!E110)^2)/2</x:f>
        <x:v>1</x:v>
      </x:c>
      <x:c r="F13" s="15" t="n">
        <x:f>1+(('INPUT Data'!F18-'INPUT Data'!F110)^2)/2</x:f>
        <x:v>1</x:v>
      </x:c>
      <x:c r="G13" s="15" t="n">
        <x:f>1+(('INPUT Data'!G18-'INPUT Data'!G110)^2)/2</x:f>
        <x:v>1</x:v>
      </x:c>
      <x:c r="H13" s="15" t="n">
        <x:f>1+(('INPUT Data'!H18-'INPUT Data'!H110)^2)/2</x:f>
        <x:v>1</x:v>
      </x:c>
      <x:c r="I13" s="15" t="n">
        <x:f>1+(('INPUT Data'!I18-'INPUT Data'!I110)^2)/2</x:f>
        <x:v>1</x:v>
      </x:c>
      <x:c r="J13" s="15" t="n">
        <x:f>1+(('INPUT Data'!J18-'INPUT Data'!J110)^2)/2</x:f>
        <x:v>1</x:v>
      </x:c>
      <x:c r="K13" s="15" t="n">
        <x:f>1+(('INPUT Data'!K18-'INPUT Data'!K110)^2)/2</x:f>
        <x:v>1</x:v>
      </x:c>
      <x:c r="L13" s="15" t="n">
        <x:f>1+(('INPUT Data'!L18-'INPUT Data'!L110)^2)/2</x:f>
        <x:v>1</x:v>
      </x:c>
      <x:c r="M13" s="15" t="n">
        <x:f>1+(('INPUT Data'!M18-'INPUT Data'!M110)^2)/2</x:f>
        <x:v>1</x:v>
      </x:c>
      <x:c r="N13" s="71">
        <x:f t="shared" si="0"/>
        <x:v>1</x:v>
      </x:c>
      <x:c r="O13" s="72">
        <x:f t="shared" si="1"/>
        <x:v>1</x:v>
      </x:c>
      <x:c r="P13" s="16" t="str">
        <x:f t="shared" si="2"/>
        <x:v>OK!</x:v>
      </x:c>
    </x:row>
    <x:row r="14" s="11" customFormat="1" ht="17.100000381469727" customHeight="1">
      <x:c r="A14" s="13"/>
      <x:c r="B14" s="14"/>
      <x:c r="C14" s="14"/>
      <x:c r="D14" s="24" t="s">
        <x:v>16</x:v>
      </x:c>
      <x:c r="E14" s="15" t="n">
        <x:f>1+(('INPUT Data'!E19-'INPUT Data'!E111)^2)/2</x:f>
        <x:v>1</x:v>
      </x:c>
      <x:c r="F14" s="15" t="n">
        <x:f>1+(('INPUT Data'!F19-'INPUT Data'!F111)^2)/2</x:f>
        <x:v>1</x:v>
      </x:c>
      <x:c r="G14" s="15" t="n">
        <x:f>1+(('INPUT Data'!G19-'INPUT Data'!G111)^2)/2</x:f>
        <x:v>1</x:v>
      </x:c>
      <x:c r="H14" s="15" t="n">
        <x:f>1+(('INPUT Data'!H19-'INPUT Data'!H111)^2)/2</x:f>
        <x:v>1</x:v>
      </x:c>
      <x:c r="I14" s="15" t="n">
        <x:f>1+(('INPUT Data'!I19-'INPUT Data'!I111)^2)/2</x:f>
        <x:v>1</x:v>
      </x:c>
      <x:c r="J14" s="15" t="n">
        <x:f>1+(('INPUT Data'!J19-'INPUT Data'!J111)^2)/2</x:f>
        <x:v>1</x:v>
      </x:c>
      <x:c r="K14" s="15" t="n">
        <x:f>1+(('INPUT Data'!K19-'INPUT Data'!K111)^2)/2</x:f>
        <x:v>1</x:v>
      </x:c>
      <x:c r="L14" s="15" t="n">
        <x:f>1+(('INPUT Data'!L19-'INPUT Data'!L111)^2)/2</x:f>
        <x:v>1</x:v>
      </x:c>
      <x:c r="M14" s="15" t="n">
        <x:f>1+(('INPUT Data'!M19-'INPUT Data'!M111)^2)/2</x:f>
        <x:v>1</x:v>
      </x:c>
      <x:c r="N14" s="71">
        <x:f t="shared" si="0"/>
        <x:v>1</x:v>
      </x:c>
      <x:c r="O14" s="72">
        <x:f t="shared" si="1"/>
        <x:v>1</x:v>
      </x:c>
      <x:c r="P14" s="16" t="str">
        <x:f t="shared" si="2"/>
        <x:v>OK!</x:v>
      </x:c>
    </x:row>
    <x:row r="15" s="11" customFormat="1" ht="17.100000381469727" customHeight="1">
      <x:c r="A15" s="13"/>
      <x:c r="B15" s="14"/>
      <x:c r="C15" s="14"/>
      <x:c r="D15" s="24" t="s">
        <x:v>17</x:v>
      </x:c>
      <x:c r="E15" s="15" t="n">
        <x:f>1+(('INPUT Data'!E20-'INPUT Data'!E112)^2)/2</x:f>
        <x:v>1</x:v>
      </x:c>
      <x:c r="F15" s="15" t="n">
        <x:f>1+(('INPUT Data'!F20-'INPUT Data'!F112)^2)/2</x:f>
        <x:v>1</x:v>
      </x:c>
      <x:c r="G15" s="15" t="n">
        <x:f>1+(('INPUT Data'!G20-'INPUT Data'!G112)^2)/2</x:f>
        <x:v>1</x:v>
      </x:c>
      <x:c r="H15" s="15" t="n">
        <x:f>1+(('INPUT Data'!H20-'INPUT Data'!H112)^2)/2</x:f>
        <x:v>1</x:v>
      </x:c>
      <x:c r="I15" s="15" t="n">
        <x:f>1+(('INPUT Data'!I20-'INPUT Data'!I112)^2)/2</x:f>
        <x:v>1</x:v>
      </x:c>
      <x:c r="J15" s="15" t="n">
        <x:f>1+(('INPUT Data'!J20-'INPUT Data'!J112)^2)/2</x:f>
        <x:v>1</x:v>
      </x:c>
      <x:c r="K15" s="15" t="n">
        <x:f>1+(('INPUT Data'!K20-'INPUT Data'!K112)^2)/2</x:f>
        <x:v>1</x:v>
      </x:c>
      <x:c r="L15" s="15" t="n">
        <x:f>1+(('INPUT Data'!L20-'INPUT Data'!L112)^2)/2</x:f>
        <x:v>1</x:v>
      </x:c>
      <x:c r="M15" s="15" t="n">
        <x:f>1+(('INPUT Data'!M20-'INPUT Data'!M112)^2)/2</x:f>
        <x:v>1</x:v>
      </x:c>
      <x:c r="N15" s="71">
        <x:f t="shared" si="0"/>
        <x:v>1</x:v>
      </x:c>
      <x:c r="O15" s="72">
        <x:f t="shared" si="1"/>
        <x:v>1</x:v>
      </x:c>
      <x:c r="P15" s="16" t="str">
        <x:f t="shared" si="2"/>
        <x:v>OK!</x:v>
      </x:c>
    </x:row>
    <x:row r="16" s="11" customFormat="1" ht="17.100000381469727" customHeight="1">
      <x:c r="A16" s="13"/>
      <x:c r="B16" s="14"/>
      <x:c r="C16" s="14"/>
      <x:c r="D16" s="24" t="s">
        <x:v>18</x:v>
      </x:c>
      <x:c r="E16" s="15" t="n">
        <x:f>1+(('INPUT Data'!E21-'INPUT Data'!E113)^2)/2</x:f>
        <x:v>1</x:v>
      </x:c>
      <x:c r="F16" s="15" t="n">
        <x:f>1+(('INPUT Data'!F21-'INPUT Data'!F113)^2)/2</x:f>
        <x:v>1</x:v>
      </x:c>
      <x:c r="G16" s="15" t="n">
        <x:f>1+(('INPUT Data'!G21-'INPUT Data'!G113)^2)/2</x:f>
        <x:v>1</x:v>
      </x:c>
      <x:c r="H16" s="15" t="n">
        <x:f>1+(('INPUT Data'!H21-'INPUT Data'!H113)^2)/2</x:f>
        <x:v>1</x:v>
      </x:c>
      <x:c r="I16" s="15" t="n">
        <x:f>1+(('INPUT Data'!I21-'INPUT Data'!I113)^2)/2</x:f>
        <x:v>1</x:v>
      </x:c>
      <x:c r="J16" s="15" t="n">
        <x:f>1+(('INPUT Data'!J21-'INPUT Data'!J113)^2)/2</x:f>
        <x:v>1</x:v>
      </x:c>
      <x:c r="K16" s="15" t="n">
        <x:f>1+(('INPUT Data'!K21-'INPUT Data'!K113)^2)/2</x:f>
        <x:v>1</x:v>
      </x:c>
      <x:c r="L16" s="15" t="n">
        <x:f>1+(('INPUT Data'!L21-'INPUT Data'!L113)^2)/2</x:f>
        <x:v>1</x:v>
      </x:c>
      <x:c r="M16" s="15" t="n">
        <x:f>1+(('INPUT Data'!M21-'INPUT Data'!M113)^2)/2</x:f>
        <x:v>1</x:v>
      </x:c>
      <x:c r="N16" s="71">
        <x:f t="shared" si="0"/>
        <x:v>1</x:v>
      </x:c>
      <x:c r="O16" s="72">
        <x:f t="shared" si="1"/>
        <x:v>1</x:v>
      </x:c>
      <x:c r="P16" s="16" t="str">
        <x:f t="shared" si="2"/>
        <x:v>OK!</x:v>
      </x:c>
    </x:row>
    <x:row r="17" s="11" customFormat="1" ht="17.100000381469727" customHeight="1">
      <x:c r="A17" s="13"/>
      <x:c r="B17" s="14"/>
      <x:c r="C17" s="14"/>
      <x:c r="D17" s="24" t="s">
        <x:v>19</x:v>
      </x:c>
      <x:c r="E17" s="15" t="n">
        <x:f>1+(('INPUT Data'!E22-'INPUT Data'!E114)^2)/2</x:f>
        <x:v>1</x:v>
      </x:c>
      <x:c r="F17" s="15" t="n">
        <x:f>1+(('INPUT Data'!F22-'INPUT Data'!F114)^2)/2</x:f>
        <x:v>1</x:v>
      </x:c>
      <x:c r="G17" s="15" t="n">
        <x:f>1+(('INPUT Data'!G22-'INPUT Data'!G114)^2)/2</x:f>
        <x:v>1</x:v>
      </x:c>
      <x:c r="H17" s="15" t="n">
        <x:f>1+(('INPUT Data'!H22-'INPUT Data'!H114)^2)/2</x:f>
        <x:v>1</x:v>
      </x:c>
      <x:c r="I17" s="15" t="n">
        <x:f>1+(('INPUT Data'!I22-'INPUT Data'!I114)^2)/2</x:f>
        <x:v>1</x:v>
      </x:c>
      <x:c r="J17" s="15" t="n">
        <x:f>1+(('INPUT Data'!J22-'INPUT Data'!J114)^2)/2</x:f>
        <x:v>1</x:v>
      </x:c>
      <x:c r="K17" s="15" t="n">
        <x:f>1+(('INPUT Data'!K22-'INPUT Data'!K114)^2)/2</x:f>
        <x:v>1</x:v>
      </x:c>
      <x:c r="L17" s="15" t="n">
        <x:f>1+(('INPUT Data'!L22-'INPUT Data'!L114)^2)/2</x:f>
        <x:v>1</x:v>
      </x:c>
      <x:c r="M17" s="15" t="n">
        <x:f>1+(('INPUT Data'!M22-'INPUT Data'!M114)^2)/2</x:f>
        <x:v>1</x:v>
      </x:c>
      <x:c r="N17" s="71">
        <x:f t="shared" si="0"/>
        <x:v>1</x:v>
      </x:c>
      <x:c r="O17" s="72">
        <x:f t="shared" si="1"/>
        <x:v>1</x:v>
      </x:c>
      <x:c r="P17" s="16" t="str">
        <x:f t="shared" si="2"/>
        <x:v>OK!</x:v>
      </x:c>
    </x:row>
    <x:row r="18" s="11" customFormat="1" ht="17.100000381469727" customHeight="1">
      <x:c r="A18" s="13"/>
      <x:c r="B18" s="14"/>
      <x:c r="C18" s="14"/>
      <x:c r="D18" s="24" t="s">
        <x:v>20</x:v>
      </x:c>
      <x:c r="E18" s="15" t="n">
        <x:f>1+(('INPUT Data'!E23-'INPUT Data'!E115)^2)/2</x:f>
        <x:v>1</x:v>
      </x:c>
      <x:c r="F18" s="15" t="n">
        <x:f>1+(('INPUT Data'!F23-'INPUT Data'!F115)^2)/2</x:f>
        <x:v>1</x:v>
      </x:c>
      <x:c r="G18" s="15" t="n">
        <x:f>1+(('INPUT Data'!G23-'INPUT Data'!G115)^2)/2</x:f>
        <x:v>1</x:v>
      </x:c>
      <x:c r="H18" s="15" t="n">
        <x:f>1+(('INPUT Data'!H23-'INPUT Data'!H115)^2)/2</x:f>
        <x:v>1</x:v>
      </x:c>
      <x:c r="I18" s="15" t="n">
        <x:f>1+(('INPUT Data'!I23-'INPUT Data'!I115)^2)/2</x:f>
        <x:v>1</x:v>
      </x:c>
      <x:c r="J18" s="15" t="n">
        <x:f>1+(('INPUT Data'!J23-'INPUT Data'!J115)^2)/2</x:f>
        <x:v>1</x:v>
      </x:c>
      <x:c r="K18" s="15" t="n">
        <x:f>1+(('INPUT Data'!K23-'INPUT Data'!K115)^2)/2</x:f>
        <x:v>1</x:v>
      </x:c>
      <x:c r="L18" s="15" t="n">
        <x:f>1+(('INPUT Data'!L23-'INPUT Data'!L115)^2)/2</x:f>
        <x:v>1</x:v>
      </x:c>
      <x:c r="M18" s="15" t="n">
        <x:f>1+(('INPUT Data'!M23-'INPUT Data'!M115)^2)/2</x:f>
        <x:v>1</x:v>
      </x:c>
      <x:c r="N18" s="71">
        <x:f t="shared" si="0"/>
        <x:v>1</x:v>
      </x:c>
      <x:c r="O18" s="72">
        <x:f t="shared" si="1"/>
        <x:v>1</x:v>
      </x:c>
      <x:c r="P18" s="16" t="str">
        <x:f t="shared" si="2"/>
        <x:v>OK!</x:v>
      </x:c>
    </x:row>
    <x:row r="19" s="11" customFormat="1" ht="17.100000381469727" customHeight="1">
      <x:c r="A19" s="13"/>
      <x:c r="B19" s="14"/>
      <x:c r="C19" s="14"/>
      <x:c r="D19" s="24" t="s">
        <x:v>21</x:v>
      </x:c>
      <x:c r="E19" s="15" t="n">
        <x:f>1+(('INPUT Data'!E24-'INPUT Data'!E116)^2)/2</x:f>
        <x:v>1</x:v>
      </x:c>
      <x:c r="F19" s="15" t="n">
        <x:f>1+(('INPUT Data'!F24-'INPUT Data'!F116)^2)/2</x:f>
        <x:v>1</x:v>
      </x:c>
      <x:c r="G19" s="15" t="n">
        <x:f>1+(('INPUT Data'!G24-'INPUT Data'!G116)^2)/2</x:f>
        <x:v>1</x:v>
      </x:c>
      <x:c r="H19" s="15" t="n">
        <x:f>1+(('INPUT Data'!H24-'INPUT Data'!H116)^2)/2</x:f>
        <x:v>1</x:v>
      </x:c>
      <x:c r="I19" s="15" t="n">
        <x:f>1+(('INPUT Data'!I24-'INPUT Data'!I116)^2)/2</x:f>
        <x:v>1</x:v>
      </x:c>
      <x:c r="J19" s="15" t="n">
        <x:f>1+(('INPUT Data'!J24-'INPUT Data'!J116)^2)/2</x:f>
        <x:v>1</x:v>
      </x:c>
      <x:c r="K19" s="15" t="n">
        <x:f>1+(('INPUT Data'!K24-'INPUT Data'!K116)^2)/2</x:f>
        <x:v>1</x:v>
      </x:c>
      <x:c r="L19" s="15" t="n">
        <x:f>1+(('INPUT Data'!L24-'INPUT Data'!L116)^2)/2</x:f>
        <x:v>1</x:v>
      </x:c>
      <x:c r="M19" s="15" t="n">
        <x:f>1+(('INPUT Data'!M24-'INPUT Data'!M116)^2)/2</x:f>
        <x:v>1</x:v>
      </x:c>
      <x:c r="N19" s="71">
        <x:f t="shared" si="0"/>
        <x:v>1</x:v>
      </x:c>
      <x:c r="O19" s="72">
        <x:f t="shared" si="1"/>
        <x:v>1</x:v>
      </x:c>
      <x:c r="P19" s="16" t="str">
        <x:f t="shared" si="2"/>
        <x:v>OK!</x:v>
      </x:c>
    </x:row>
    <x:row r="20" s="11" customFormat="1" ht="17.100000381469727" customHeight="1">
      <x:c r="A20" s="13"/>
      <x:c r="B20" s="14"/>
      <x:c r="C20" s="14"/>
      <x:c r="D20" s="24" t="s">
        <x:v>22</x:v>
      </x:c>
      <x:c r="E20" s="15" t="n">
        <x:f>1+(('INPUT Data'!E25-'INPUT Data'!E118)^2)/2</x:f>
        <x:v>1</x:v>
      </x:c>
      <x:c r="F20" s="15" t="n">
        <x:f>1+(('INPUT Data'!F25-'INPUT Data'!F118)^2)/2</x:f>
        <x:v>1</x:v>
      </x:c>
      <x:c r="G20" s="15" t="n">
        <x:f>1+(('INPUT Data'!G25-'INPUT Data'!G118)^2)/2</x:f>
        <x:v>1</x:v>
      </x:c>
      <x:c r="H20" s="15" t="n">
        <x:f>1+(('INPUT Data'!H25-'INPUT Data'!H118)^2)/2</x:f>
        <x:v>1</x:v>
      </x:c>
      <x:c r="I20" s="15" t="n">
        <x:f>1+(('INPUT Data'!I25-'INPUT Data'!I118)^2)/2</x:f>
        <x:v>1</x:v>
      </x:c>
      <x:c r="J20" s="15" t="n">
        <x:f>1+(('INPUT Data'!J25-'INPUT Data'!J118)^2)/2</x:f>
        <x:v>1</x:v>
      </x:c>
      <x:c r="K20" s="15" t="n">
        <x:f>1+(('INPUT Data'!K25-'INPUT Data'!K118)^2)/2</x:f>
        <x:v>1</x:v>
      </x:c>
      <x:c r="L20" s="15" t="n">
        <x:f>1+(('INPUT Data'!L25-'INPUT Data'!L118)^2)/2</x:f>
        <x:v>1</x:v>
      </x:c>
      <x:c r="M20" s="15" t="n">
        <x:f>1+(('INPUT Data'!M25-'INPUT Data'!M118)^2)/2</x:f>
        <x:v>1</x:v>
      </x:c>
      <x:c r="N20" s="71">
        <x:f t="shared" si="0"/>
        <x:v>1</x:v>
      </x:c>
      <x:c r="O20" s="72">
        <x:f t="shared" si="1"/>
        <x:v>1</x:v>
      </x:c>
      <x:c r="P20" s="16" t="str">
        <x:f t="shared" si="2"/>
        <x:v>OK!</x:v>
      </x:c>
    </x:row>
    <x:row r="21" s="11" customFormat="1" ht="17.100000381469727" customHeight="1">
      <x:c r="A21" s="17"/>
      <x:c r="B21" s="18"/>
      <x:c r="C21" s="18"/>
      <x:c r="D21" s="25" t="s">
        <x:v>23</x:v>
      </x:c>
      <x:c r="E21" s="15" t="e">
        <x:f>1+(('INPUT Data'!E26-'INPUT Data'!#REF!)^2)/2</x:f>
      </x:c>
      <x:c r="F21" s="15" t="e">
        <x:f>1+(('INPUT Data'!F26-'INPUT Data'!#REF!)^2)/2</x:f>
      </x:c>
      <x:c r="G21" s="15" t="e">
        <x:f>1+(('INPUT Data'!G26-'INPUT Data'!#REF!)^2)/2</x:f>
      </x:c>
      <x:c r="H21" s="15" t="e">
        <x:f>1+(('INPUT Data'!H26-'INPUT Data'!#REF!)^2)/2</x:f>
      </x:c>
      <x:c r="I21" s="15" t="e">
        <x:f>1+(('INPUT Data'!I26-'INPUT Data'!#REF!)^2)/2</x:f>
      </x:c>
      <x:c r="J21" s="15" t="e">
        <x:f>1+(('INPUT Data'!J26-'INPUT Data'!#REF!)^2)/2</x:f>
      </x:c>
      <x:c r="K21" s="15" t="e">
        <x:f>1+(('INPUT Data'!K26-'INPUT Data'!#REF!)^2)/2</x:f>
      </x:c>
      <x:c r="L21" s="15" t="e">
        <x:f>1+(('INPUT Data'!L26-'INPUT Data'!#REF!)^2)/2</x:f>
      </x:c>
      <x:c r="M21" s="15" t="e">
        <x:f>1+(('INPUT Data'!M26-'INPUT Data'!#REF!)^2)/2</x:f>
      </x:c>
      <x:c r="N21" s="71" t="e">
        <x:f t="shared" si="0"/>
      </x:c>
      <x:c r="O21" s="72" t="e">
        <x:f t="shared" si="1"/>
      </x:c>
      <x:c r="P21" s="16" t="e">
        <x:f t="shared" si="2"/>
      </x:c>
    </x:row>
    <x:row r="22" s="11" customFormat="1" ht="17.100000381469727" customHeight="1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7"/>
      <x:c r="P22" s="26"/>
    </x:row>
    <x:row r="23" s="80" customFormat="1" ht="39.75" customHeight="1">
      <x:c r="A23" s="79" t="s">
        <x:v>32</x:v>
      </x:c>
      <x:c r="B23" s="75" t="str">
        <x:f>'INPUT Data'!B6</x:f>
        <x:v>Panel</x:v>
      </x:c>
      <x:c r="C23" s="75" t="str">
        <x:f>'INPUT Data'!C6</x:f>
        <x:v>Campione</x:v>
      </x:c>
      <x:c r="D23" s="75" t="str">
        <x:f>'INPUT Data'!D6</x:f>
        <x:v>Assaggiatore</x:v>
      </x:c>
      <x:c r="E23" s="75" t="str">
        <x:f>'INPUT Data'!E6</x:f>
        <x:v>Riscaldo / Morchia</x:v>
      </x:c>
      <x:c r="F23" s="75" t="str">
        <x:f>'INPUT Data'!F6</x:f>
        <x:v>Muffa / Umidità / Terra</x:v>
      </x:c>
      <x:c r="G23" s="75" t="str">
        <x:f>'INPUT Data'!G6</x:f>
        <x:v>Avvinato / Inacetito / Acido / Agro</x:v>
      </x:c>
      <x:c r="H23" s="75" t="str">
        <x:f>'INPUT Data'!H6</x:f>
        <x:v>Olive gelate (legno umido)</x:v>
      </x:c>
      <x:c r="I23" s="75" t="str">
        <x:f>'INPUT Data'!I6</x:f>
        <x:v>Rancido</x:v>
      </x:c>
      <x:c r="J23" s="75" t="str">
        <x:f>'INPUT Data'!J6</x:f>
        <x:v>Altro attributo negativo</x:v>
      </x:c>
      <x:c r="K23" s="75" t="str">
        <x:f>'INPUT Data'!K6</x:f>
        <x:v>Fruttato</x:v>
      </x:c>
      <x:c r="L23" s="75" t="str">
        <x:f>'INPUT Data'!L6</x:f>
        <x:v>Amaro</x:v>
      </x:c>
      <x:c r="M23" s="75" t="str">
        <x:f>'INPUT Data'!M6</x:f>
        <x:v>Piccante</x:v>
      </x:c>
      <x:c r="N23" s="76" t="s">
        <x:v>30</x:v>
      </x:c>
      <x:c r="O23" s="76" t="s">
        <x:v>33</x:v>
      </x:c>
      <x:c r="P23" s="77" t="str">
        <x:v>Commento*</x:v>
      </x:c>
    </x:row>
    <x:row r="24" s="11" customFormat="1" ht="17.100000381469727" customHeight="1">
      <x:c r="A24" s="13"/>
      <x:c r="B24" s="14"/>
      <x:c r="C24" s="14" t="n">
        <x:f>'INPUT Data'!C7</x:f>
        <x:v>0</x:v>
      </x:c>
      <x:c r="D24" s="14" t="s">
        <x:v>4</x:v>
      </x:c>
      <x:c r="E24" s="15" t="n">
        <x:f>1+((('INPUT Data'!E7-Table!D$7)^2+('INPUT Data'!E99-Table!D$60)^2)/4)</x:f>
        <x:v>1</x:v>
      </x:c>
      <x:c r="F24" s="15" t="n">
        <x:f>1+((('INPUT Data'!F7-Table!E$7)^2+('INPUT Data'!F99-Table!E$60)^2)/4)</x:f>
        <x:v>1</x:v>
      </x:c>
      <x:c r="G24" s="15" t="n">
        <x:f>1+((('INPUT Data'!G7-Table!F$7)^2+('INPUT Data'!G99-Table!F$60)^2)/4)</x:f>
        <x:v>1.7225</x:v>
      </x:c>
      <x:c r="H24" s="15" t="n">
        <x:f>1+((('INPUT Data'!H7-Table!G$7)^2+('INPUT Data'!H99-Table!G$60)^2)/4)</x:f>
        <x:v>1</x:v>
      </x:c>
      <x:c r="I24" s="15" t="n">
        <x:f>1+((('INPUT Data'!I7-Table!H$7)^2+('INPUT Data'!I99-Table!H$60)^2)/4)</x:f>
        <x:v>1</x:v>
      </x:c>
      <x:c r="J24" s="15" t="n">
        <x:f>1+((('INPUT Data'!J7-Table!I$7)^2+('INPUT Data'!J99-Table!I$60)^2)/4)</x:f>
        <x:v>1</x:v>
      </x:c>
      <x:c r="K24" s="15" t="n">
        <x:f>1+((('INPUT Data'!K7-Table!J$7)^2+('INPUT Data'!K99-Table!J$60)^2)/4)</x:f>
        <x:v>1.3906249999999998</x:v>
      </x:c>
      <x:c r="L24" s="15" t="n">
        <x:f>1+((('INPUT Data'!L7-Table!K$7)^2+('INPUT Data'!L99-Table!K$60)^2)/4)</x:f>
        <x:v>1.005625</x:v>
      </x:c>
      <x:c r="M24" s="15" t="n">
        <x:f>1+((('INPUT Data'!M7-Table!L$7)^2+('INPUT Data'!M99-Table!L$60)^2)/4)</x:f>
        <x:v>1.0625</x:v>
      </x:c>
      <x:c r="N24" s="71" t="n">
        <x:f>MEDIAN(E24:M24)</x:f>
        <x:v>1</x:v>
      </x:c>
      <x:c r="O24" s="72" t="n">
        <x:f>MAX(E24:M24)</x:f>
        <x:v>1.7225</x:v>
      </x:c>
      <x:c r="P24" s="16" t="str">
        <x:f>IF(O24&lt;=3,"OK!","Judge Training")</x:f>
        <x:v>OK!</x:v>
      </x:c>
    </x:row>
    <x:row r="25" s="11" customFormat="1" ht="17.100000381469727" customHeight="1">
      <x:c r="A25" s="13"/>
      <x:c r="B25" s="14"/>
      <x:c r="C25" s="14" t="n">
        <x:f>'INPUT Data'!C99</x:f>
        <x:v>0</x:v>
      </x:c>
      <x:c r="D25" s="14" t="s">
        <x:v>5</x:v>
      </x:c>
      <x:c r="E25" s="15" t="n">
        <x:f>1+((('INPUT Data'!E8-Table!D$7)^2+('INPUT Data'!E100-Table!D$60)^2)/4)</x:f>
        <x:v>1</x:v>
      </x:c>
      <x:c r="F25" s="15" t="n">
        <x:f>1+((('INPUT Data'!F8-Table!E$7)^2+('INPUT Data'!F100-Table!E$60)^2)/4)</x:f>
        <x:v>1</x:v>
      </x:c>
      <x:c r="G25" s="15" t="n">
        <x:f>1+((('INPUT Data'!G8-Table!F$7)^2+('INPUT Data'!G100-Table!F$60)^2)/4)</x:f>
        <x:v>1</x:v>
      </x:c>
      <x:c r="H25" s="15" t="n">
        <x:f>1+((('INPUT Data'!H8-Table!G$7)^2+('INPUT Data'!H100-Table!G$60)^2)/4)</x:f>
        <x:v>1</x:v>
      </x:c>
      <x:c r="I25" s="15" t="n">
        <x:f>1+((('INPUT Data'!I8-Table!H$7)^2+('INPUT Data'!I100-Table!H$60)^2)/4)</x:f>
        <x:v>1</x:v>
      </x:c>
      <x:c r="J25" s="15" t="n">
        <x:f>1+((('INPUT Data'!J8-Table!I$7)^2+('INPUT Data'!J100-Table!I$60)^2)/4)</x:f>
        <x:v>1</x:v>
      </x:c>
      <x:c r="K25" s="15" t="n">
        <x:f>1+((('INPUT Data'!K8-Table!J$7)^2+('INPUT Data'!K100-Table!J$60)^2)/4)</x:f>
        <x:v>1.005625</x:v>
      </x:c>
      <x:c r="L25" s="15" t="n">
        <x:f>1+((('INPUT Data'!L8-Table!K$7)^2+('INPUT Data'!L100-Table!K$60)^2)/4)</x:f>
        <x:v>1.0506250000000001</x:v>
      </x:c>
      <x:c r="M25" s="15" t="n">
        <x:f>1+((('INPUT Data'!M8-Table!L$7)^2+('INPUT Data'!M100-Table!L$60)^2)/4)</x:f>
        <x:v>1.0025</x:v>
      </x:c>
      <x:c r="N25" s="71" t="n">
        <x:f t="shared" ref="N25:N43" si="3">MEDIAN(E25:M25)</x:f>
        <x:v>1</x:v>
      </x:c>
      <x:c r="O25" s="72" t="n">
        <x:f t="shared" ref="O25:O43" si="4">MAX(E25:M25)</x:f>
        <x:v>1.0506250000000001</x:v>
      </x:c>
      <x:c r="P25" s="16" t="str">
        <x:f t="shared" ref="P25:P43" si="5">IF(O25&lt;=3,"OK!","Judge Training")</x:f>
        <x:v>OK!</x:v>
      </x:c>
    </x:row>
    <x:row r="26" s="11" customFormat="1" ht="17.100000381469727" customHeight="1">
      <x:c r="A26" s="13"/>
      <x:c r="B26" s="14"/>
      <x:c r="C26" s="14"/>
      <x:c r="D26" s="14" t="s">
        <x:v>6</x:v>
      </x:c>
      <x:c r="E26" s="15" t="n">
        <x:f>1+((('INPUT Data'!E9-Table!D$7)^2+('INPUT Data'!E101-Table!D$60)^2)/4)</x:f>
        <x:v>1</x:v>
      </x:c>
      <x:c r="F26" s="15" t="n">
        <x:f>1+((('INPUT Data'!F9-Table!E$7)^2+('INPUT Data'!F101-Table!E$60)^2)/4)</x:f>
        <x:v>1</x:v>
      </x:c>
      <x:c r="G26" s="15" t="n">
        <x:f>1+((('INPUT Data'!G9-Table!F$7)^2+('INPUT Data'!G101-Table!F$60)^2)/4)</x:f>
        <x:v>1</x:v>
      </x:c>
      <x:c r="H26" s="15" t="n">
        <x:f>1+((('INPUT Data'!H9-Table!G$7)^2+('INPUT Data'!H101-Table!G$60)^2)/4)</x:f>
        <x:v>1</x:v>
      </x:c>
      <x:c r="I26" s="15" t="n">
        <x:f>1+((('INPUT Data'!I9-Table!H$7)^2+('INPUT Data'!I101-Table!H$60)^2)/4)</x:f>
        <x:v>1</x:v>
      </x:c>
      <x:c r="J26" s="15" t="n">
        <x:f>1+((('INPUT Data'!J9-Table!I$7)^2+('INPUT Data'!J101-Table!I$60)^2)/4)</x:f>
        <x:v>1</x:v>
      </x:c>
      <x:c r="K26" s="15" t="n">
        <x:f>1+((('INPUT Data'!K9-Table!J$7)^2+('INPUT Data'!K101-Table!J$60)^2)/4)</x:f>
        <x:v>1.075625</x:v>
      </x:c>
      <x:c r="L26" s="15" t="n">
        <x:f>1+((('INPUT Data'!L9-Table!K$7)^2+('INPUT Data'!L101-Table!K$60)^2)/4)</x:f>
        <x:v>1.005625</x:v>
      </x:c>
      <x:c r="M26" s="15" t="n">
        <x:f>1+((('INPUT Data'!M9-Table!L$7)^2+('INPUT Data'!M101-Table!L$60)^2)/4)</x:f>
        <x:v>1.25</x:v>
      </x:c>
      <x:c r="N26" s="71">
        <x:f t="shared" si="3"/>
        <x:v>1</x:v>
      </x:c>
      <x:c r="O26" s="72">
        <x:f t="shared" si="4"/>
        <x:v>1.25</x:v>
      </x:c>
      <x:c r="P26" s="16" t="str">
        <x:f t="shared" si="5"/>
        <x:v>OK!</x:v>
      </x:c>
    </x:row>
    <x:row r="27" s="11" customFormat="1" ht="17.100000381469727" customHeight="1">
      <x:c r="A27" s="13"/>
      <x:c r="B27" s="14"/>
      <x:c r="C27" s="14"/>
      <x:c r="D27" s="14" t="s">
        <x:v>7</x:v>
      </x:c>
      <x:c r="E27" s="15" t="n">
        <x:f>1+((('INPUT Data'!E10-Table!D$7)^2+('INPUT Data'!E102-Table!D$60)^2)/4)</x:f>
        <x:v>1</x:v>
      </x:c>
      <x:c r="F27" s="15" t="n">
        <x:f>1+((('INPUT Data'!F10-Table!E$7)^2+('INPUT Data'!F102-Table!E$60)^2)/4)</x:f>
        <x:v>1</x:v>
      </x:c>
      <x:c r="G27" s="15" t="n">
        <x:f>1+((('INPUT Data'!G10-Table!F$7)^2+('INPUT Data'!G102-Table!F$60)^2)/4)</x:f>
        <x:v>1</x:v>
      </x:c>
      <x:c r="H27" s="15" t="n">
        <x:f>1+((('INPUT Data'!H10-Table!G$7)^2+('INPUT Data'!H102-Table!G$60)^2)/4)</x:f>
        <x:v>1</x:v>
      </x:c>
      <x:c r="I27" s="15" t="n">
        <x:f>1+((('INPUT Data'!I10-Table!H$7)^2+('INPUT Data'!I102-Table!H$60)^2)/4)</x:f>
        <x:v>1.25</x:v>
      </x:c>
      <x:c r="J27" s="15" t="n">
        <x:f>1+((('INPUT Data'!J10-Table!I$7)^2+('INPUT Data'!J102-Table!I$60)^2)/4)</x:f>
        <x:v>1.25</x:v>
      </x:c>
      <x:c r="K27" s="15" t="n">
        <x:f>1+((('INPUT Data'!K10-Table!J$7)^2+('INPUT Data'!K102-Table!J$60)^2)/4)</x:f>
        <x:v>1.005625</x:v>
      </x:c>
      <x:c r="L27" s="15" t="n">
        <x:f>1+((('INPUT Data'!L10-Table!K$7)^2+('INPUT Data'!L102-Table!K$60)^2)/4)</x:f>
        <x:v>1.140625</x:v>
      </x:c>
      <x:c r="M27" s="15" t="n">
        <x:f>1+((('INPUT Data'!M10-Table!L$7)^2+('INPUT Data'!M102-Table!L$60)^2)/4)</x:f>
        <x:v>1.1224999999999998</x:v>
      </x:c>
      <x:c r="N27" s="71">
        <x:f t="shared" si="3"/>
        <x:v>1.005625</x:v>
      </x:c>
      <x:c r="O27" s="72">
        <x:f t="shared" si="4"/>
        <x:v>1.25</x:v>
      </x:c>
      <x:c r="P27" s="16" t="str">
        <x:f t="shared" si="5"/>
        <x:v>OK!</x:v>
      </x:c>
    </x:row>
    <x:row r="28" s="11" customFormat="1" ht="17.100000381469727" customHeight="1">
      <x:c r="A28" s="13"/>
      <x:c r="B28" s="14"/>
      <x:c r="C28" s="14"/>
      <x:c r="D28" s="14" t="s">
        <x:v>8</x:v>
      </x:c>
      <x:c r="E28" s="15" t="n">
        <x:f>1+((('INPUT Data'!E11-Table!D$7)^2+('INPUT Data'!E103-Table!D$60)^2)/4)</x:f>
        <x:v>1</x:v>
      </x:c>
      <x:c r="F28" s="15" t="n">
        <x:f>1+((('INPUT Data'!F11-Table!E$7)^2+('INPUT Data'!F103-Table!E$60)^2)/4)</x:f>
        <x:v>1</x:v>
      </x:c>
      <x:c r="G28" s="15" t="n">
        <x:f>1+((('INPUT Data'!G11-Table!F$7)^2+('INPUT Data'!G103-Table!F$60)^2)/4)</x:f>
        <x:v>1</x:v>
      </x:c>
      <x:c r="H28" s="15" t="n">
        <x:f>1+((('INPUT Data'!H11-Table!G$7)^2+('INPUT Data'!H103-Table!G$60)^2)/4)</x:f>
        <x:v>1</x:v>
      </x:c>
      <x:c r="I28" s="15" t="n">
        <x:f>1+((('INPUT Data'!I11-Table!H$7)^2+('INPUT Data'!I103-Table!H$60)^2)/4)</x:f>
        <x:v>1</x:v>
      </x:c>
      <x:c r="J28" s="15" t="n">
        <x:f>1+((('INPUT Data'!J11-Table!I$7)^2+('INPUT Data'!J103-Table!I$60)^2)/4)</x:f>
        <x:v>1</x:v>
      </x:c>
      <x:c r="K28" s="15" t="n">
        <x:f>1+((('INPUT Data'!K11-Table!J$7)^2+('INPUT Data'!K103-Table!J$60)^2)/4)</x:f>
        <x:v>1.005625</x:v>
      </x:c>
      <x:c r="L28" s="15" t="n">
        <x:f>1+((('INPUT Data'!L11-Table!K$7)^2+('INPUT Data'!L103-Table!K$60)^2)/4)</x:f>
        <x:v>1.015625</x:v>
      </x:c>
      <x:c r="M28" s="15" t="n">
        <x:f>1+((('INPUT Data'!M11-Table!L$7)^2+('INPUT Data'!M103-Table!L$60)^2)/4)</x:f>
        <x:v>1.0025</x:v>
      </x:c>
      <x:c r="N28" s="71">
        <x:f t="shared" si="3"/>
        <x:v>1</x:v>
      </x:c>
      <x:c r="O28" s="72">
        <x:f t="shared" si="4"/>
        <x:v>1.015625</x:v>
      </x:c>
      <x:c r="P28" s="16" t="str">
        <x:f t="shared" si="5"/>
        <x:v>OK!</x:v>
      </x:c>
    </x:row>
    <x:row r="29" s="11" customFormat="1" ht="17.100000381469727" customHeight="1">
      <x:c r="A29" s="13"/>
      <x:c r="B29" s="14"/>
      <x:c r="C29" s="14"/>
      <x:c r="D29" s="14" t="s">
        <x:v>9</x:v>
      </x:c>
      <x:c r="E29" s="15" t="n">
        <x:f>1+((('INPUT Data'!E12-Table!D$7)^2+('INPUT Data'!E104-Table!D$60)^2)/4)</x:f>
        <x:v>1</x:v>
      </x:c>
      <x:c r="F29" s="15" t="n">
        <x:f>1+((('INPUT Data'!F12-Table!E$7)^2+('INPUT Data'!F104-Table!E$60)^2)/4)</x:f>
        <x:v>1</x:v>
      </x:c>
      <x:c r="G29" s="15" t="n">
        <x:f>1+((('INPUT Data'!G12-Table!F$7)^2+('INPUT Data'!G104-Table!F$60)^2)/4)</x:f>
        <x:v>1</x:v>
      </x:c>
      <x:c r="H29" s="15" t="n">
        <x:f>1+((('INPUT Data'!H12-Table!G$7)^2+('INPUT Data'!H104-Table!G$60)^2)/4)</x:f>
        <x:v>1</x:v>
      </x:c>
      <x:c r="I29" s="15" t="n">
        <x:f>1+((('INPUT Data'!I12-Table!H$7)^2+('INPUT Data'!I104-Table!H$60)^2)/4)</x:f>
        <x:v>2</x:v>
      </x:c>
      <x:c r="J29" s="15" t="n">
        <x:f>1+((('INPUT Data'!J12-Table!I$7)^2+('INPUT Data'!J104-Table!I$60)^2)/4)</x:f>
        <x:v>1.25</x:v>
      </x:c>
      <x:c r="K29" s="15" t="n">
        <x:f>1+((('INPUT Data'!K12-Table!J$7)^2+('INPUT Data'!K104-Table!J$60)^2)/4)</x:f>
        <x:v>1.005625</x:v>
      </x:c>
      <x:c r="L29" s="15" t="n">
        <x:f>1+((('INPUT Data'!L12-Table!K$7)^2+('INPUT Data'!L104-Table!K$60)^2)/4)</x:f>
        <x:v>1.950625</x:v>
      </x:c>
      <x:c r="M29" s="15" t="n">
        <x:f>1+((('INPUT Data'!M12-Table!L$7)^2+('INPUT Data'!M104-Table!L$60)^2)/4)</x:f>
        <x:v>1.49</x:v>
      </x:c>
      <x:c r="N29" s="71">
        <x:f t="shared" si="3"/>
        <x:v>1.005625</x:v>
      </x:c>
      <x:c r="O29" s="72">
        <x:f t="shared" si="4"/>
        <x:v>2</x:v>
      </x:c>
      <x:c r="P29" s="16" t="str">
        <x:f t="shared" si="5"/>
        <x:v>OK!</x:v>
      </x:c>
    </x:row>
    <x:row r="30" s="11" customFormat="1" ht="17.100000381469727" customHeight="1">
      <x:c r="A30" s="13"/>
      <x:c r="B30" s="14"/>
      <x:c r="C30" s="14"/>
      <x:c r="D30" s="14" t="s">
        <x:v>10</x:v>
      </x:c>
      <x:c r="E30" s="15" t="n">
        <x:f>1+((('INPUT Data'!E13-Table!D$7)^2+('INPUT Data'!E105-Table!D$60)^2)/4)</x:f>
        <x:v>1</x:v>
      </x:c>
      <x:c r="F30" s="15" t="n">
        <x:f>1+((('INPUT Data'!F13-Table!E$7)^2+('INPUT Data'!F105-Table!E$60)^2)/4)</x:f>
        <x:v>1</x:v>
      </x:c>
      <x:c r="G30" s="15" t="n">
        <x:f>1+((('INPUT Data'!G13-Table!F$7)^2+('INPUT Data'!G105-Table!F$60)^2)/4)</x:f>
        <x:v>1</x:v>
      </x:c>
      <x:c r="H30" s="15" t="n">
        <x:f>1+((('INPUT Data'!H13-Table!G$7)^2+('INPUT Data'!H105-Table!G$60)^2)/4)</x:f>
        <x:v>1</x:v>
      </x:c>
      <x:c r="I30" s="15" t="n">
        <x:f>1+((('INPUT Data'!I13-Table!H$7)^2+('INPUT Data'!I105-Table!H$60)^2)/4)</x:f>
        <x:v>1</x:v>
      </x:c>
      <x:c r="J30" s="15" t="n">
        <x:f>1+((('INPUT Data'!J13-Table!I$7)^2+('INPUT Data'!J105-Table!I$60)^2)/4)</x:f>
        <x:v>1</x:v>
      </x:c>
      <x:c r="K30" s="15" t="n">
        <x:f>1+((('INPUT Data'!K13-Table!J$7)^2+('INPUT Data'!K105-Table!J$60)^2)/4)</x:f>
        <x:v>3.030625</x:v>
      </x:c>
      <x:c r="L30" s="15" t="n">
        <x:f>1+((('INPUT Data'!L13-Table!K$7)^2+('INPUT Data'!L105-Table!K$60)^2)/4)</x:f>
        <x:v>2.625625</x:v>
      </x:c>
      <x:c r="M30" s="15" t="n">
        <x:f>1+((('INPUT Data'!M13-Table!L$7)^2+('INPUT Data'!M105-Table!L$60)^2)/4)</x:f>
        <x:v>3.4025000000000003</x:v>
      </x:c>
      <x:c r="N30" s="71">
        <x:f t="shared" si="3"/>
        <x:v>1</x:v>
      </x:c>
      <x:c r="O30" s="72">
        <x:f t="shared" si="4"/>
        <x:v>3.4025000000000003</x:v>
      </x:c>
      <x:c r="P30" s="16" t="str">
        <x:f t="shared" si="5"/>
        <x:v>Formazione assaggiatore</x:v>
      </x:c>
    </x:row>
    <x:row r="31" s="11" customFormat="1" ht="17.100000381469727" customHeight="1">
      <x:c r="A31" s="13"/>
      <x:c r="B31" s="14"/>
      <x:c r="C31" s="14"/>
      <x:c r="D31" s="14" t="s">
        <x:v>11</x:v>
      </x:c>
      <x:c r="E31" s="15" t="n">
        <x:f>1+((('INPUT Data'!E14-Table!D$7)^2+('INPUT Data'!E106-Table!D$60)^2)/4)</x:f>
        <x:v>1</x:v>
      </x:c>
      <x:c r="F31" s="15" t="n">
        <x:f>1+((('INPUT Data'!F14-Table!E$7)^2+('INPUT Data'!F106-Table!E$60)^2)/4)</x:f>
        <x:v>1</x:v>
      </x:c>
      <x:c r="G31" s="15" t="n">
        <x:f>1+((('INPUT Data'!G14-Table!F$7)^2+('INPUT Data'!G106-Table!F$60)^2)/4)</x:f>
        <x:v>1</x:v>
      </x:c>
      <x:c r="H31" s="15" t="n">
        <x:f>1+((('INPUT Data'!H14-Table!G$7)^2+('INPUT Data'!H106-Table!G$60)^2)/4)</x:f>
        <x:v>1</x:v>
      </x:c>
      <x:c r="I31" s="15" t="n">
        <x:f>1+((('INPUT Data'!I14-Table!H$7)^2+('INPUT Data'!I106-Table!H$60)^2)/4)</x:f>
        <x:v>2</x:v>
      </x:c>
      <x:c r="J31" s="15" t="n">
        <x:f>1+((('INPUT Data'!J14-Table!I$7)^2+('INPUT Data'!J106-Table!I$60)^2)/4)</x:f>
        <x:v>1.1225</x:v>
      </x:c>
      <x:c r="K31" s="15" t="n">
        <x:f>1+((('INPUT Data'!K14-Table!J$7)^2+('INPUT Data'!K106-Table!J$60)^2)/4)</x:f>
        <x:v>3.030625</x:v>
      </x:c>
      <x:c r="L31" s="15" t="n">
        <x:f>1+((('INPUT Data'!L14-Table!K$7)^2+('INPUT Data'!L106-Table!K$60)^2)/4)</x:f>
        <x:v>2.625625</x:v>
      </x:c>
      <x:c r="M31" s="15" t="n">
        <x:f>1+((('INPUT Data'!M14-Table!L$7)^2+('INPUT Data'!M106-Table!L$60)^2)/4)</x:f>
        <x:v>3.4025000000000003</x:v>
      </x:c>
      <x:c r="N31" s="71">
        <x:f t="shared" si="3"/>
        <x:v>1.1225000000000001</x:v>
      </x:c>
      <x:c r="O31" s="72">
        <x:f t="shared" si="4"/>
        <x:v>3.4025000000000003</x:v>
      </x:c>
      <x:c r="P31" s="16" t="str">
        <x:f t="shared" si="5"/>
        <x:v>Formazione assaggiatore</x:v>
      </x:c>
    </x:row>
    <x:row r="32" s="11" customFormat="1" ht="17.100000381469727" customHeight="1">
      <x:c r="A32" s="13"/>
      <x:c r="B32" s="14"/>
      <x:c r="C32" s="14"/>
      <x:c r="D32" s="14" t="s">
        <x:v>12</x:v>
      </x:c>
      <x:c r="E32" s="15" t="n">
        <x:f>1+((('INPUT Data'!E15-Table!D$7)^2+('INPUT Data'!E107-Table!D$60)^2)/4)</x:f>
        <x:v>1</x:v>
      </x:c>
      <x:c r="F32" s="15" t="n">
        <x:f>1+((('INPUT Data'!F15-Table!E$7)^2+('INPUT Data'!F107-Table!E$60)^2)/4)</x:f>
        <x:v>1</x:v>
      </x:c>
      <x:c r="G32" s="15" t="n">
        <x:f>1+((('INPUT Data'!G15-Table!F$7)^2+('INPUT Data'!G107-Table!F$60)^2)/4)</x:f>
        <x:v>1</x:v>
      </x:c>
      <x:c r="H32" s="15" t="n">
        <x:f>1+((('INPUT Data'!H15-Table!G$7)^2+('INPUT Data'!H107-Table!G$60)^2)/4)</x:f>
        <x:v>1</x:v>
      </x:c>
      <x:c r="I32" s="15" t="n">
        <x:f>1+((('INPUT Data'!I15-Table!H$7)^2+('INPUT Data'!I107-Table!H$60)^2)/4)</x:f>
        <x:v>7.25</x:v>
      </x:c>
      <x:c r="J32" s="15" t="n">
        <x:f>1+((('INPUT Data'!J15-Table!I$7)^2+('INPUT Data'!J107-Table!I$60)^2)/4)</x:f>
        <x:v>1</x:v>
      </x:c>
      <x:c r="K32" s="15" t="n">
        <x:f>1+((('INPUT Data'!K15-Table!J$7)^2+('INPUT Data'!K107-Table!J$60)^2)/4)</x:f>
        <x:v>5.280625000000001</x:v>
      </x:c>
      <x:c r="L32" s="15" t="n">
        <x:f>1+((('INPUT Data'!L15-Table!K$7)^2+('INPUT Data'!L107-Table!K$60)^2)/4)</x:f>
        <x:v>2.625625</x:v>
      </x:c>
      <x:c r="M32" s="15" t="n">
        <x:f>1+((('INPUT Data'!M15-Table!L$7)^2+('INPUT Data'!M107-Table!L$60)^2)/4)</x:f>
        <x:v>3.4025000000000003</x:v>
      </x:c>
      <x:c r="N32" s="71">
        <x:f t="shared" si="3"/>
        <x:v>1</x:v>
      </x:c>
      <x:c r="O32" s="72">
        <x:f t="shared" si="4"/>
        <x:v>7.25</x:v>
      </x:c>
      <x:c r="P32" s="16" t="str">
        <x:f t="shared" si="5"/>
        <x:v>Formazione assaggiatore</x:v>
      </x:c>
    </x:row>
    <x:row r="33" s="11" customFormat="1" ht="17.100000381469727" customHeight="1">
      <x:c r="A33" s="13"/>
      <x:c r="B33" s="14"/>
      <x:c r="C33" s="14"/>
      <x:c r="D33" s="14" t="s">
        <x:v>13</x:v>
      </x:c>
      <x:c r="E33" s="15" t="n">
        <x:f>1+((('INPUT Data'!E16-Table!D$7)^2+('INPUT Data'!E108-Table!D$60)^2)/4)</x:f>
        <x:v>1</x:v>
      </x:c>
      <x:c r="F33" s="15" t="n">
        <x:f>1+((('INPUT Data'!F16-Table!E$7)^2+('INPUT Data'!F108-Table!E$60)^2)/4)</x:f>
        <x:v>1</x:v>
      </x:c>
      <x:c r="G33" s="15" t="n">
        <x:f>1+((('INPUT Data'!G16-Table!F$7)^2+('INPUT Data'!G108-Table!F$60)^2)/4)</x:f>
        <x:v>1</x:v>
      </x:c>
      <x:c r="H33" s="15" t="n">
        <x:f>1+((('INPUT Data'!H16-Table!G$7)^2+('INPUT Data'!H108-Table!G$60)^2)/4)</x:f>
        <x:v>1</x:v>
      </x:c>
      <x:c r="I33" s="15" t="n">
        <x:f>1+((('INPUT Data'!I16-Table!H$7)^2+('INPUT Data'!I108-Table!H$60)^2)/4)</x:f>
        <x:v>7.25</x:v>
      </x:c>
      <x:c r="J33" s="15" t="n">
        <x:f>1+((('INPUT Data'!J16-Table!I$7)^2+('INPUT Data'!J108-Table!I$60)^2)/4)</x:f>
        <x:v>1</x:v>
      </x:c>
      <x:c r="K33" s="15" t="n">
        <x:f>1+((('INPUT Data'!K16-Table!J$7)^2+('INPUT Data'!K108-Table!J$60)^2)/4)</x:f>
        <x:v>5.280625000000001</x:v>
      </x:c>
      <x:c r="L33" s="15" t="n">
        <x:f>1+((('INPUT Data'!L16-Table!K$7)^2+('INPUT Data'!L108-Table!K$60)^2)/4)</x:f>
        <x:v>2.625625</x:v>
      </x:c>
      <x:c r="M33" s="15" t="n">
        <x:f>1+((('INPUT Data'!M16-Table!L$7)^2+('INPUT Data'!M108-Table!L$60)^2)/4)</x:f>
        <x:v>3.4025000000000003</x:v>
      </x:c>
      <x:c r="N33" s="71">
        <x:f t="shared" si="3"/>
        <x:v>1</x:v>
      </x:c>
      <x:c r="O33" s="72">
        <x:f t="shared" si="4"/>
        <x:v>7.25</x:v>
      </x:c>
      <x:c r="P33" s="16" t="str">
        <x:f t="shared" si="5"/>
        <x:v>Formazione assaggiatore</x:v>
      </x:c>
    </x:row>
    <x:row r="34" s="11" customFormat="1" ht="17.100000381469727" customHeight="1">
      <x:c r="A34" s="13"/>
      <x:c r="B34" s="14"/>
      <x:c r="C34" s="14"/>
      <x:c r="D34" s="14" t="s">
        <x:v>14</x:v>
      </x:c>
      <x:c r="E34" s="15" t="n">
        <x:f>1+((('INPUT Data'!E17-Table!D$7)^2+('INPUT Data'!E109-Table!D$60)^2)/4)</x:f>
        <x:v>1</x:v>
      </x:c>
      <x:c r="F34" s="15" t="n">
        <x:f>1+((('INPUT Data'!F17-Table!E$7)^2+('INPUT Data'!F109-Table!E$60)^2)/4)</x:f>
        <x:v>1</x:v>
      </x:c>
      <x:c r="G34" s="15" t="n">
        <x:f>1+((('INPUT Data'!G17-Table!F$7)^2+('INPUT Data'!G109-Table!F$60)^2)/4)</x:f>
        <x:v>1</x:v>
      </x:c>
      <x:c r="H34" s="15" t="n">
        <x:f>1+((('INPUT Data'!H17-Table!G$7)^2+('INPUT Data'!H109-Table!G$60)^2)/4)</x:f>
        <x:v>1</x:v>
      </x:c>
      <x:c r="I34" s="15" t="n">
        <x:f>1+((('INPUT Data'!I17-Table!H$7)^2+('INPUT Data'!I109-Table!H$60)^2)/4)</x:f>
        <x:v>7.25</x:v>
      </x:c>
      <x:c r="J34" s="15" t="n">
        <x:f>1+((('INPUT Data'!J17-Table!I$7)^2+('INPUT Data'!J109-Table!I$60)^2)/4)</x:f>
        <x:v>1</x:v>
      </x:c>
      <x:c r="K34" s="15" t="n">
        <x:f>1+((('INPUT Data'!K17-Table!J$7)^2+('INPUT Data'!K109-Table!J$60)^2)/4)</x:f>
        <x:v>5.280625000000001</x:v>
      </x:c>
      <x:c r="L34" s="15" t="n">
        <x:f>1+((('INPUT Data'!L17-Table!K$7)^2+('INPUT Data'!L109-Table!K$60)^2)/4)</x:f>
        <x:v>2.625625</x:v>
      </x:c>
      <x:c r="M34" s="15" t="n">
        <x:f>1+((('INPUT Data'!M17-Table!L$7)^2+('INPUT Data'!M109-Table!L$60)^2)/4)</x:f>
        <x:v>3.4025000000000003</x:v>
      </x:c>
      <x:c r="N34" s="71">
        <x:f t="shared" si="3"/>
        <x:v>1</x:v>
      </x:c>
      <x:c r="O34" s="72">
        <x:f t="shared" si="4"/>
        <x:v>7.25</x:v>
      </x:c>
      <x:c r="P34" s="16" t="str">
        <x:f t="shared" si="5"/>
        <x:v>Formazione assaggiatore</x:v>
      </x:c>
    </x:row>
    <x:row r="35" s="11" customFormat="1" ht="17.100000381469727" customHeight="1">
      <x:c r="A35" s="22"/>
      <x:c r="B35" s="23"/>
      <x:c r="C35" s="23"/>
      <x:c r="D35" s="23" t="s">
        <x:v>15</x:v>
      </x:c>
      <x:c r="E35" s="15" t="n">
        <x:f>1+((('INPUT Data'!E18-Table!D$7)^2+('INPUT Data'!E110-Table!D$60)^2)/4)</x:f>
        <x:v>1</x:v>
      </x:c>
      <x:c r="F35" s="15" t="n">
        <x:f>1+((('INPUT Data'!F18-Table!E$7)^2+('INPUT Data'!F110-Table!E$60)^2)/4)</x:f>
        <x:v>1</x:v>
      </x:c>
      <x:c r="G35" s="15" t="n">
        <x:f>1+((('INPUT Data'!G18-Table!F$7)^2+('INPUT Data'!G110-Table!F$60)^2)/4)</x:f>
        <x:v>1</x:v>
      </x:c>
      <x:c r="H35" s="15" t="n">
        <x:f>1+((('INPUT Data'!H18-Table!G$7)^2+('INPUT Data'!H110-Table!G$60)^2)/4)</x:f>
        <x:v>1</x:v>
      </x:c>
      <x:c r="I35" s="15" t="n">
        <x:f>1+((('INPUT Data'!I18-Table!H$7)^2+('INPUT Data'!I110-Table!H$60)^2)/4)</x:f>
        <x:v>7.25</x:v>
      </x:c>
      <x:c r="J35" s="15" t="n">
        <x:f>1+((('INPUT Data'!J18-Table!I$7)^2+('INPUT Data'!J110-Table!I$60)^2)/4)</x:f>
        <x:v>1</x:v>
      </x:c>
      <x:c r="K35" s="15" t="n">
        <x:f>1+((('INPUT Data'!K18-Table!J$7)^2+('INPUT Data'!K110-Table!J$60)^2)/4)</x:f>
        <x:v>5.280625000000001</x:v>
      </x:c>
      <x:c r="L35" s="15" t="n">
        <x:f>1+((('INPUT Data'!L18-Table!K$7)^2+('INPUT Data'!L110-Table!K$60)^2)/4)</x:f>
        <x:v>2.625625</x:v>
      </x:c>
      <x:c r="M35" s="15" t="n">
        <x:f>1+((('INPUT Data'!M18-Table!L$7)^2+('INPUT Data'!M110-Table!L$60)^2)/4)</x:f>
        <x:v>3.4025000000000003</x:v>
      </x:c>
      <x:c r="N35" s="71">
        <x:f t="shared" si="3"/>
        <x:v>1</x:v>
      </x:c>
      <x:c r="O35" s="72">
        <x:f t="shared" si="4"/>
        <x:v>7.25</x:v>
      </x:c>
      <x:c r="P35" s="16" t="str">
        <x:f t="shared" si="5"/>
        <x:v>Formazione assaggiatore</x:v>
      </x:c>
    </x:row>
    <x:row r="36" s="11" customFormat="1" ht="17.100000381469727" customHeight="1">
      <x:c r="A36" s="22"/>
      <x:c r="B36" s="23"/>
      <x:c r="C36" s="23"/>
      <x:c r="D36" s="23" t="s">
        <x:v>16</x:v>
      </x:c>
      <x:c r="E36" s="15" t="n">
        <x:f>1+((('INPUT Data'!E19-Table!D$7)^2+('INPUT Data'!E111-Table!D$60)^2)/4)</x:f>
        <x:v>1</x:v>
      </x:c>
      <x:c r="F36" s="15" t="n">
        <x:f>1+((('INPUT Data'!F19-Table!E$7)^2+('INPUT Data'!F111-Table!E$60)^2)/4)</x:f>
        <x:v>1</x:v>
      </x:c>
      <x:c r="G36" s="15" t="n">
        <x:f>1+((('INPUT Data'!G19-Table!F$7)^2+('INPUT Data'!G111-Table!F$60)^2)/4)</x:f>
        <x:v>1</x:v>
      </x:c>
      <x:c r="H36" s="15" t="n">
        <x:f>1+((('INPUT Data'!H19-Table!G$7)^2+('INPUT Data'!H111-Table!G$60)^2)/4)</x:f>
        <x:v>1</x:v>
      </x:c>
      <x:c r="I36" s="15" t="n">
        <x:f>1+((('INPUT Data'!I19-Table!H$7)^2+('INPUT Data'!I111-Table!H$60)^2)/4)</x:f>
        <x:v>7.25</x:v>
      </x:c>
      <x:c r="J36" s="15" t="n">
        <x:f>1+((('INPUT Data'!J19-Table!I$7)^2+('INPUT Data'!J111-Table!I$60)^2)/4)</x:f>
        <x:v>1</x:v>
      </x:c>
      <x:c r="K36" s="15" t="n">
        <x:f>1+((('INPUT Data'!K19-Table!J$7)^2+('INPUT Data'!K111-Table!J$60)^2)/4)</x:f>
        <x:v>5.280625000000001</x:v>
      </x:c>
      <x:c r="L36" s="15" t="n">
        <x:f>1+((('INPUT Data'!L19-Table!K$7)^2+('INPUT Data'!L111-Table!K$60)^2)/4)</x:f>
        <x:v>2.625625</x:v>
      </x:c>
      <x:c r="M36" s="15" t="n">
        <x:f>1+((('INPUT Data'!M19-Table!L$7)^2+('INPUT Data'!M111-Table!L$60)^2)/4)</x:f>
        <x:v>3.4025000000000003</x:v>
      </x:c>
      <x:c r="N36" s="71">
        <x:f t="shared" si="3"/>
        <x:v>1</x:v>
      </x:c>
      <x:c r="O36" s="72">
        <x:f t="shared" si="4"/>
        <x:v>7.25</x:v>
      </x:c>
      <x:c r="P36" s="16" t="str">
        <x:f t="shared" si="5"/>
        <x:v>Formazione assaggiatore</x:v>
      </x:c>
    </x:row>
    <x:row r="37" s="11" customFormat="1" ht="17.100000381469727" customHeight="1">
      <x:c r="A37" s="22"/>
      <x:c r="B37" s="23"/>
      <x:c r="C37" s="23"/>
      <x:c r="D37" s="23" t="s">
        <x:v>17</x:v>
      </x:c>
      <x:c r="E37" s="15" t="n">
        <x:f>1+((('INPUT Data'!E20-Table!D$7)^2+('INPUT Data'!E112-Table!D$60)^2)/4)</x:f>
        <x:v>1</x:v>
      </x:c>
      <x:c r="F37" s="15" t="n">
        <x:f>1+((('INPUT Data'!F20-Table!E$7)^2+('INPUT Data'!F112-Table!E$60)^2)/4)</x:f>
        <x:v>1</x:v>
      </x:c>
      <x:c r="G37" s="15" t="n">
        <x:f>1+((('INPUT Data'!G20-Table!F$7)^2+('INPUT Data'!G112-Table!F$60)^2)/4)</x:f>
        <x:v>1</x:v>
      </x:c>
      <x:c r="H37" s="15" t="n">
        <x:f>1+((('INPUT Data'!H20-Table!G$7)^2+('INPUT Data'!H112-Table!G$60)^2)/4)</x:f>
        <x:v>1</x:v>
      </x:c>
      <x:c r="I37" s="15" t="n">
        <x:f>1+((('INPUT Data'!I20-Table!H$7)^2+('INPUT Data'!I112-Table!H$60)^2)/4)</x:f>
        <x:v>7.25</x:v>
      </x:c>
      <x:c r="J37" s="15" t="n">
        <x:f>1+((('INPUT Data'!J20-Table!I$7)^2+('INPUT Data'!J112-Table!I$60)^2)/4)</x:f>
        <x:v>1</x:v>
      </x:c>
      <x:c r="K37" s="15" t="n">
        <x:f>1+((('INPUT Data'!K20-Table!J$7)^2+('INPUT Data'!K112-Table!J$60)^2)/4)</x:f>
        <x:v>5.280625000000001</x:v>
      </x:c>
      <x:c r="L37" s="15" t="n">
        <x:f>1+((('INPUT Data'!L20-Table!K$7)^2+('INPUT Data'!L112-Table!K$60)^2)/4)</x:f>
        <x:v>2.625625</x:v>
      </x:c>
      <x:c r="M37" s="15" t="n">
        <x:f>1+((('INPUT Data'!M20-Table!L$7)^2+('INPUT Data'!M112-Table!L$60)^2)/4)</x:f>
        <x:v>3.4025000000000003</x:v>
      </x:c>
      <x:c r="N37" s="71">
        <x:f t="shared" si="3"/>
        <x:v>1</x:v>
      </x:c>
      <x:c r="O37" s="72">
        <x:f t="shared" si="4"/>
        <x:v>7.25</x:v>
      </x:c>
      <x:c r="P37" s="16" t="str">
        <x:f t="shared" si="5"/>
        <x:v>Formazione assaggiatore</x:v>
      </x:c>
    </x:row>
    <x:row r="38" s="11" customFormat="1" ht="17.100000381469727" customHeight="1">
      <x:c r="A38" s="22"/>
      <x:c r="B38" s="23"/>
      <x:c r="C38" s="23"/>
      <x:c r="D38" s="23" t="s">
        <x:v>18</x:v>
      </x:c>
      <x:c r="E38" s="15" t="n">
        <x:f>1+((('INPUT Data'!E21-Table!D$7)^2+('INPUT Data'!E113-Table!D$60)^2)/4)</x:f>
        <x:v>1</x:v>
      </x:c>
      <x:c r="F38" s="15" t="n">
        <x:f>1+((('INPUT Data'!F21-Table!E$7)^2+('INPUT Data'!F113-Table!E$60)^2)/4)</x:f>
        <x:v>1</x:v>
      </x:c>
      <x:c r="G38" s="15" t="n">
        <x:f>1+((('INPUT Data'!G21-Table!F$7)^2+('INPUT Data'!G113-Table!F$60)^2)/4)</x:f>
        <x:v>1</x:v>
      </x:c>
      <x:c r="H38" s="15" t="n">
        <x:f>1+((('INPUT Data'!H21-Table!G$7)^2+('INPUT Data'!H113-Table!G$60)^2)/4)</x:f>
        <x:v>1</x:v>
      </x:c>
      <x:c r="I38" s="15" t="n">
        <x:f>1+((('INPUT Data'!I21-Table!H$7)^2+('INPUT Data'!I113-Table!H$60)^2)/4)</x:f>
        <x:v>7.25</x:v>
      </x:c>
      <x:c r="J38" s="15" t="n">
        <x:f>1+((('INPUT Data'!J21-Table!I$7)^2+('INPUT Data'!J113-Table!I$60)^2)/4)</x:f>
        <x:v>1</x:v>
      </x:c>
      <x:c r="K38" s="15" t="n">
        <x:f>1+((('INPUT Data'!K21-Table!J$7)^2+('INPUT Data'!K113-Table!J$60)^2)/4)</x:f>
        <x:v>5.280625000000001</x:v>
      </x:c>
      <x:c r="L38" s="15" t="n">
        <x:f>1+((('INPUT Data'!L21-Table!K$7)^2+('INPUT Data'!L113-Table!K$60)^2)/4)</x:f>
        <x:v>2.625625</x:v>
      </x:c>
      <x:c r="M38" s="15" t="n">
        <x:f>1+((('INPUT Data'!M21-Table!L$7)^2+('INPUT Data'!M113-Table!L$60)^2)/4)</x:f>
        <x:v>3.4025000000000003</x:v>
      </x:c>
      <x:c r="N38" s="71">
        <x:f t="shared" si="3"/>
        <x:v>1</x:v>
      </x:c>
      <x:c r="O38" s="72">
        <x:f t="shared" si="4"/>
        <x:v>7.25</x:v>
      </x:c>
      <x:c r="P38" s="16" t="str">
        <x:f t="shared" si="5"/>
        <x:v>Formazione assaggiatore</x:v>
      </x:c>
    </x:row>
    <x:row r="39" s="11" customFormat="1" ht="17.100000381469727" customHeight="1">
      <x:c r="A39" s="22"/>
      <x:c r="B39" s="23"/>
      <x:c r="C39" s="23"/>
      <x:c r="D39" s="23" t="s">
        <x:v>19</x:v>
      </x:c>
      <x:c r="E39" s="15" t="n">
        <x:f>1+((('INPUT Data'!E22-Table!D$7)^2+('INPUT Data'!E114-Table!D$60)^2)/4)</x:f>
        <x:v>1</x:v>
      </x:c>
      <x:c r="F39" s="15" t="n">
        <x:f>1+((('INPUT Data'!F22-Table!E$7)^2+('INPUT Data'!F114-Table!E$60)^2)/4)</x:f>
        <x:v>1</x:v>
      </x:c>
      <x:c r="G39" s="15" t="n">
        <x:f>1+((('INPUT Data'!G22-Table!F$7)^2+('INPUT Data'!G114-Table!F$60)^2)/4)</x:f>
        <x:v>1</x:v>
      </x:c>
      <x:c r="H39" s="15" t="n">
        <x:f>1+((('INPUT Data'!H22-Table!G$7)^2+('INPUT Data'!H114-Table!G$60)^2)/4)</x:f>
        <x:v>1</x:v>
      </x:c>
      <x:c r="I39" s="15" t="n">
        <x:f>1+((('INPUT Data'!I22-Table!H$7)^2+('INPUT Data'!I114-Table!H$60)^2)/4)</x:f>
        <x:v>7.25</x:v>
      </x:c>
      <x:c r="J39" s="15" t="n">
        <x:f>1+((('INPUT Data'!J22-Table!I$7)^2+('INPUT Data'!J114-Table!I$60)^2)/4)</x:f>
        <x:v>1</x:v>
      </x:c>
      <x:c r="K39" s="15" t="n">
        <x:f>1+((('INPUT Data'!K22-Table!J$7)^2+('INPUT Data'!K114-Table!J$60)^2)/4)</x:f>
        <x:v>5.280625000000001</x:v>
      </x:c>
      <x:c r="L39" s="15" t="n">
        <x:f>1+((('INPUT Data'!L22-Table!K$7)^2+('INPUT Data'!L114-Table!K$60)^2)/4)</x:f>
        <x:v>2.625625</x:v>
      </x:c>
      <x:c r="M39" s="15" t="n">
        <x:f>1+((('INPUT Data'!M22-Table!L$7)^2+('INPUT Data'!M114-Table!L$60)^2)/4)</x:f>
        <x:v>3.4025000000000003</x:v>
      </x:c>
      <x:c r="N39" s="71">
        <x:f t="shared" si="3"/>
        <x:v>1</x:v>
      </x:c>
      <x:c r="O39" s="72">
        <x:f t="shared" si="4"/>
        <x:v>7.25</x:v>
      </x:c>
      <x:c r="P39" s="16" t="str">
        <x:f t="shared" si="5"/>
        <x:v>Formazione assaggiatore</x:v>
      </x:c>
    </x:row>
    <x:row r="40" s="11" customFormat="1" ht="17.100000381469727" customHeight="1">
      <x:c r="A40" s="22"/>
      <x:c r="B40" s="23"/>
      <x:c r="C40" s="23"/>
      <x:c r="D40" s="23" t="s">
        <x:v>20</x:v>
      </x:c>
      <x:c r="E40" s="15" t="n">
        <x:f>1+((('INPUT Data'!E23-Table!D$7)^2+('INPUT Data'!E115-Table!D$60)^2)/4)</x:f>
        <x:v>1</x:v>
      </x:c>
      <x:c r="F40" s="15" t="n">
        <x:f>1+((('INPUT Data'!F23-Table!E$7)^2+('INPUT Data'!F115-Table!E$60)^2)/4)</x:f>
        <x:v>1</x:v>
      </x:c>
      <x:c r="G40" s="15" t="n">
        <x:f>1+((('INPUT Data'!G23-Table!F$7)^2+('INPUT Data'!G115-Table!F$60)^2)/4)</x:f>
        <x:v>1</x:v>
      </x:c>
      <x:c r="H40" s="15" t="n">
        <x:f>1+((('INPUT Data'!H23-Table!G$7)^2+('INPUT Data'!H115-Table!G$60)^2)/4)</x:f>
        <x:v>1</x:v>
      </x:c>
      <x:c r="I40" s="15" t="n">
        <x:f>1+((('INPUT Data'!I23-Table!H$7)^2+('INPUT Data'!I115-Table!H$60)^2)/4)</x:f>
        <x:v>7.25</x:v>
      </x:c>
      <x:c r="J40" s="15" t="n">
        <x:f>1+((('INPUT Data'!J23-Table!I$7)^2+('INPUT Data'!J115-Table!I$60)^2)/4)</x:f>
        <x:v>1</x:v>
      </x:c>
      <x:c r="K40" s="15" t="n">
        <x:f>1+((('INPUT Data'!K23-Table!J$7)^2+('INPUT Data'!K115-Table!J$60)^2)/4)</x:f>
        <x:v>5.280625000000001</x:v>
      </x:c>
      <x:c r="L40" s="15" t="n">
        <x:f>1+((('INPUT Data'!L23-Table!K$7)^2+('INPUT Data'!L115-Table!K$60)^2)/4)</x:f>
        <x:v>2.625625</x:v>
      </x:c>
      <x:c r="M40" s="15" t="n">
        <x:f>1+((('INPUT Data'!M23-Table!L$7)^2+('INPUT Data'!M115-Table!L$60)^2)/4)</x:f>
        <x:v>3.4025000000000003</x:v>
      </x:c>
      <x:c r="N40" s="71">
        <x:f t="shared" si="3"/>
        <x:v>1</x:v>
      </x:c>
      <x:c r="O40" s="72">
        <x:f t="shared" si="4"/>
        <x:v>7.25</x:v>
      </x:c>
      <x:c r="P40" s="16" t="str">
        <x:f t="shared" si="5"/>
        <x:v>Formazione assaggiatore</x:v>
      </x:c>
    </x:row>
    <x:row r="41" s="11" customFormat="1" ht="17.100000381469727" customHeight="1">
      <x:c r="A41" s="22"/>
      <x:c r="B41" s="23"/>
      <x:c r="C41" s="23"/>
      <x:c r="D41" s="23" t="s">
        <x:v>21</x:v>
      </x:c>
      <x:c r="E41" s="15" t="n">
        <x:f>1+((('INPUT Data'!E24-Table!D$7)^2+('INPUT Data'!E116-Table!D$60)^2)/4)</x:f>
        <x:v>1</x:v>
      </x:c>
      <x:c r="F41" s="15" t="n">
        <x:f>1+((('INPUT Data'!F24-Table!E$7)^2+('INPUT Data'!F116-Table!E$60)^2)/4)</x:f>
        <x:v>1</x:v>
      </x:c>
      <x:c r="G41" s="15" t="n">
        <x:f>1+((('INPUT Data'!G24-Table!F$7)^2+('INPUT Data'!G116-Table!F$60)^2)/4)</x:f>
        <x:v>1</x:v>
      </x:c>
      <x:c r="H41" s="15" t="n">
        <x:f>1+((('INPUT Data'!H24-Table!G$7)^2+('INPUT Data'!H116-Table!G$60)^2)/4)</x:f>
        <x:v>1</x:v>
      </x:c>
      <x:c r="I41" s="15" t="n">
        <x:f>1+((('INPUT Data'!I24-Table!H$7)^2+('INPUT Data'!I116-Table!H$60)^2)/4)</x:f>
        <x:v>7.25</x:v>
      </x:c>
      <x:c r="J41" s="15" t="n">
        <x:f>1+((('INPUT Data'!J24-Table!I$7)^2+('INPUT Data'!J116-Table!I$60)^2)/4)</x:f>
        <x:v>1</x:v>
      </x:c>
      <x:c r="K41" s="15" t="n">
        <x:f>1+((('INPUT Data'!K24-Table!J$7)^2+('INPUT Data'!K116-Table!J$60)^2)/4)</x:f>
        <x:v>5.280625000000001</x:v>
      </x:c>
      <x:c r="L41" s="15" t="n">
        <x:f>1+((('INPUT Data'!L24-Table!K$7)^2+('INPUT Data'!L116-Table!K$60)^2)/4)</x:f>
        <x:v>2.625625</x:v>
      </x:c>
      <x:c r="M41" s="15" t="n">
        <x:f>1+((('INPUT Data'!M24-Table!L$7)^2+('INPUT Data'!M116-Table!L$60)^2)/4)</x:f>
        <x:v>3.4025000000000003</x:v>
      </x:c>
      <x:c r="N41" s="71">
        <x:f t="shared" si="3"/>
        <x:v>1</x:v>
      </x:c>
      <x:c r="O41" s="72">
        <x:f t="shared" si="4"/>
        <x:v>7.25</x:v>
      </x:c>
      <x:c r="P41" s="16" t="str">
        <x:f t="shared" si="5"/>
        <x:v>Formazione assaggiatore</x:v>
      </x:c>
    </x:row>
    <x:row r="42" s="11" customFormat="1" ht="17.100000381469727" customHeight="1">
      <x:c r="A42" s="22"/>
      <x:c r="B42" s="23"/>
      <x:c r="C42" s="23"/>
      <x:c r="D42" s="23" t="s">
        <x:v>22</x:v>
      </x:c>
      <x:c r="E42" s="15" t="n">
        <x:f>1+((('INPUT Data'!E25-Table!D$7)^2+('INPUT Data'!E118-Table!D$60)^2)/4)</x:f>
        <x:v>1</x:v>
      </x:c>
      <x:c r="F42" s="15" t="n">
        <x:f>1+((('INPUT Data'!F25-Table!E$7)^2+('INPUT Data'!F118-Table!E$60)^2)/4)</x:f>
        <x:v>1</x:v>
      </x:c>
      <x:c r="G42" s="15" t="n">
        <x:f>1+((('INPUT Data'!G25-Table!F$7)^2+('INPUT Data'!G118-Table!F$60)^2)/4)</x:f>
        <x:v>1</x:v>
      </x:c>
      <x:c r="H42" s="15" t="n">
        <x:f>1+((('INPUT Data'!H25-Table!G$7)^2+('INPUT Data'!H118-Table!G$60)^2)/4)</x:f>
        <x:v>1</x:v>
      </x:c>
      <x:c r="I42" s="15" t="n">
        <x:f>1+((('INPUT Data'!I25-Table!H$7)^2+('INPUT Data'!I118-Table!H$60)^2)/4)</x:f>
        <x:v>7.25</x:v>
      </x:c>
      <x:c r="J42" s="15" t="n">
        <x:f>1+((('INPUT Data'!J25-Table!I$7)^2+('INPUT Data'!J118-Table!I$60)^2)/4)</x:f>
        <x:v>1</x:v>
      </x:c>
      <x:c r="K42" s="15" t="n">
        <x:f>1+((('INPUT Data'!K25-Table!J$7)^2+('INPUT Data'!K118-Table!J$60)^2)/4)</x:f>
        <x:v>5.280625000000001</x:v>
      </x:c>
      <x:c r="L42" s="15" t="n">
        <x:f>1+((('INPUT Data'!L25-Table!K$7)^2+('INPUT Data'!L118-Table!K$60)^2)/4)</x:f>
        <x:v>2.625625</x:v>
      </x:c>
      <x:c r="M42" s="15" t="n">
        <x:f>1+((('INPUT Data'!M25-Table!L$7)^2+('INPUT Data'!M118-Table!L$60)^2)/4)</x:f>
        <x:v>3.4025000000000003</x:v>
      </x:c>
      <x:c r="N42" s="71">
        <x:f t="shared" si="3"/>
        <x:v>1</x:v>
      </x:c>
      <x:c r="O42" s="72">
        <x:f t="shared" si="4"/>
        <x:v>7.25</x:v>
      </x:c>
      <x:c r="P42" s="16" t="str">
        <x:f t="shared" si="5"/>
        <x:v>Formazione assaggiatore</x:v>
      </x:c>
    </x:row>
    <x:row r="43" s="11" customFormat="1" ht="17.100000381469727" customHeight="1">
      <x:c r="A43" s="17"/>
      <x:c r="B43" s="18"/>
      <x:c r="C43" s="18"/>
      <x:c r="D43" s="18" t="s">
        <x:v>23</x:v>
      </x:c>
      <x:c r="E43" s="19" t="e">
        <x:f>1+((('INPUT Data'!E26-Table!D$7)^2+('INPUT Data'!#REF!-Table!D$60)^2)/4)</x:f>
      </x:c>
      <x:c r="F43" s="19" t="e">
        <x:f>1+((('INPUT Data'!F26-Table!E$7)^2+('INPUT Data'!#REF!-Table!E$60)^2)/4)</x:f>
      </x:c>
      <x:c r="G43" s="19" t="e">
        <x:f>1+((('INPUT Data'!G26-Table!F$7)^2+('INPUT Data'!#REF!-Table!F$60)^2)/4)</x:f>
      </x:c>
      <x:c r="H43" s="19" t="e">
        <x:f>1+((('INPUT Data'!H26-Table!G$7)^2+('INPUT Data'!#REF!-Table!G$60)^2)/4)</x:f>
      </x:c>
      <x:c r="I43" s="19" t="e">
        <x:f>1+((('INPUT Data'!I26-Table!H$7)^2+('INPUT Data'!#REF!-Table!H$60)^2)/4)</x:f>
      </x:c>
      <x:c r="J43" s="19" t="e">
        <x:f>1+((('INPUT Data'!J26-Table!I$7)^2+('INPUT Data'!#REF!-Table!I$60)^2)/4)</x:f>
      </x:c>
      <x:c r="K43" s="19" t="e">
        <x:f>1+((('INPUT Data'!K26-Table!J$7)^2+('INPUT Data'!#REF!-Table!J$60)^2)/4)</x:f>
      </x:c>
      <x:c r="L43" s="19" t="e">
        <x:f>1+((('INPUT Data'!L26-Table!K$7)^2+('INPUT Data'!#REF!-Table!K$60)^2)/4)</x:f>
      </x:c>
      <x:c r="M43" s="19" t="e">
        <x:f>1+((('INPUT Data'!M26-Table!L$7)^2+('INPUT Data'!#REF!-Table!L$60)^2)/4)</x:f>
      </x:c>
      <x:c r="N43" s="73" t="e">
        <x:f t="shared" si="3"/>
      </x:c>
      <x:c r="O43" s="74" t="e">
        <x:f t="shared" si="4"/>
      </x:c>
      <x:c r="P43" s="20" t="e">
        <x:f t="shared" si="5"/>
      </x:c>
    </x:row>
    <x:row r="44" s="11" customFormat="1" ht="17.100000381469727" customHeight="1">
      <x:c r="A44" s="10" t="s">
        <x:v>34</x:v>
      </x:c>
      <x:c r="C44"/>
      <x:c r="O44" s="12"/>
      <x:c r="P44" s="2"/>
    </x:row>
    <x:row r="45" ht="17.100000381469727" customHeight="1">
      <x:c r="P45" s="2"/>
    </x:row>
    <x:row r="46">
      <x:c r="P46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1.4609375" defaultRowHeight="12.75"/>
  <x:sheetData/>
  <x:pageMargins left="0.7" right="0.7" top="0.75" bottom="0.75" header="0.3" footer="0.3"/>
  <x:drawing xmlns:r="http://schemas.openxmlformats.org/officeDocument/2006/relationships" r:id="Rdd0a684fb9e24a3a"/>
</x:worksheet>
</file>

<file path=xl/worksheets/sheet5.xml><?xml version="1.0" encoding="utf-8"?>
<x:worksheet xmlns:x="http://schemas.openxmlformats.org/spreadsheetml/2006/main">
  <x:sheetFormatPr defaultColWidth="11.4609375" defaultRowHeight="12.75"/>
  <x:sheetData>
    <x:row r="1" ht="18.75" customHeight="1"/>
    <x:row r="2" ht="18.75" customHeight="1"/>
    <x:row r="3" ht="18.75" customHeight="1"/>
    <x:row r="4" ht="18.75" customHeight="1"/>
    <x:row r="5" ht="18.75" customHeight="1"/>
    <x:row r="6" ht="18.75" customHeight="1"/>
    <x:row r="7" ht="18.75" customHeight="1"/>
    <x:row r="8" ht="18.75" customHeight="1"/>
    <x:row r="9" ht="18.75" customHeight="1"/>
    <x:row r="10" ht="18.75" customHeight="1"/>
    <x:row r="11" ht="18.75" customHeight="1"/>
    <x:row r="12" ht="18.75" customHeight="1"/>
    <x:row r="13" ht="18.75" customHeight="1"/>
    <x:row r="14" ht="18.75" customHeight="1"/>
    <x:row r="15" ht="18.75" customHeight="1"/>
    <x:row r="16" ht="18.75" customHeight="1"/>
    <x:row r="17" ht="18.75" customHeight="1"/>
    <x:row r="18" ht="18.75" customHeight="1"/>
    <x:row r="19" ht="18.75" customHeight="1"/>
    <x:row r="20" ht="18.75" customHeight="1"/>
    <x:row r="21" ht="18.75" customHeight="1"/>
    <x:row r="22" ht="18.75" customHeight="1"/>
    <x:row r="23" ht="18.75" customHeight="1"/>
    <x:row r="24" ht="18.75" customHeight="1"/>
    <x:row r="25" ht="18.75" customHeight="1"/>
    <x:row r="26" ht="18.75" customHeight="1"/>
    <x:row r="27" ht="18.75" customHeight="1"/>
    <x:row r="28" ht="18.75" customHeight="1"/>
    <x:row r="29" ht="18.75" customHeight="1"/>
    <x:row r="30" ht="18.75" customHeight="1"/>
    <x:row r="31" ht="18.75" customHeight="1"/>
    <x:row r="32" ht="18.75" customHeight="1"/>
    <x:row r="33" ht="18.75" customHeight="1"/>
  </x:sheetData>
  <x:pageMargins left="0.7" right="0.7" top="0.75" bottom="0.75" header="0.3" footer="0.3"/>
  <x:drawing xmlns:r="http://schemas.openxmlformats.org/officeDocument/2006/relationships" r:id="Rc7c66ab56dba4763"/>
</x:worksheet>
</file>

<file path=xl/worksheets/sheet6.xml><?xml version="1.0" encoding="utf-8"?>
<x:worksheet xmlns:x="http://schemas.openxmlformats.org/spreadsheetml/2006/main">
  <x:sheetFormatPr defaultColWidth="11.4609375" defaultRowHeight="12.75"/>
  <x:cols>
    <x:col min="1" max="1" width="5.796875" customWidth="1"/>
    <x:col min="2" max="2" width="7.28125" customWidth="1"/>
    <x:col min="3" max="3" width="5.93359375" customWidth="1"/>
    <x:col min="4" max="4" width="21.44140625" customWidth="1"/>
    <x:col min="5" max="5" width="18.203125" customWidth="1"/>
    <x:col min="6" max="6" width="22.11328125" customWidth="1"/>
    <x:col min="7" max="7" width="24.8125" customWidth="1"/>
    <x:col min="8" max="8" width="6.875" customWidth="1"/>
    <x:col min="9" max="9" width="20.49609375" customWidth="1"/>
    <x:col min="10" max="11" width="5.66015625" customWidth="1"/>
    <x:col min="12" max="12" width="7.953125" customWidth="1"/>
  </x:cols>
  <x:sheetData>
    <x:row r="1">
      <x:c r="A1" s="325" t="str">
        <x:f>'INPUT Data'!B6</x:f>
        <x:v>Panel</x:v>
      </x:c>
      <x:c r="B1" s="325" t="str">
        <x:f>'INPUT Data'!C6</x:f>
        <x:v>Campione</x:v>
      </x:c>
      <x:c r="C1" s="325" t="str">
        <x:f>'INPUT Data'!D6</x:f>
        <x:v>Assaggiatore</x:v>
      </x:c>
      <x:c r="D1" s="325" t="str">
        <x:f>'INPUT Data'!E6</x:f>
        <x:v>Riscaldo / Morchia</x:v>
      </x:c>
      <x:c r="E1" s="325" t="str">
        <x:f>'INPUT Data'!F6</x:f>
        <x:v>Muffa / Umidità / Terra</x:v>
      </x:c>
      <x:c r="F1" s="325" t="str">
        <x:f>'INPUT Data'!G6</x:f>
        <x:v>Avvinato / Inacetito / Acido / Agro</x:v>
      </x:c>
      <x:c r="G1" s="325" t="str">
        <x:f>'INPUT Data'!H6</x:f>
        <x:v>Olive gelate (legno umido)</x:v>
      </x:c>
      <x:c r="H1" s="325" t="str">
        <x:f>'INPUT Data'!I6</x:f>
        <x:v>Rancido</x:v>
      </x:c>
      <x:c r="I1" s="325" t="str">
        <x:f>'INPUT Data'!J6</x:f>
        <x:v>Altro attributo negativo</x:v>
      </x:c>
      <x:c r="J1" s="325" t="str">
        <x:f>'INPUT Data'!K6</x:f>
        <x:v>Fruttato</x:v>
      </x:c>
      <x:c r="K1" s="325" t="str">
        <x:f>'INPUT Data'!L6</x:f>
        <x:v>Amaro</x:v>
      </x:c>
      <x:c r="L1" s="325" t="str">
        <x:f>'INPUT Data'!M6</x:f>
        <x:v>Piccante</x:v>
      </x:c>
    </x:row>
    <x:row r="2">
      <x:c r="A2" t="n">
        <x:f>'INPUT Data'!B7</x:f>
        <x:v>0</x:v>
      </x:c>
      <x:c r="B2" t="n">
        <x:f>'INPUT Data'!C7</x:f>
        <x:v>0</x:v>
      </x:c>
      <x:c r="C2" t="str">
        <x:f>'INPUT Data'!D7</x:f>
        <x:v>A</x:v>
      </x:c>
      <x:c r="D2" t="n">
        <x:f>'INPUT Data'!E7</x:f>
        <x:v>0</x:v>
      </x:c>
      <x:c r="E2" t="n">
        <x:f>'INPUT Data'!F7</x:f>
        <x:v>0</x:v>
      </x:c>
      <x:c r="F2" t="n">
        <x:f>'INPUT Data'!G7</x:f>
        <x:v>1.7</x:v>
      </x:c>
      <x:c r="G2" t="n">
        <x:f>'INPUT Data'!H7</x:f>
        <x:v>0</x:v>
      </x:c>
      <x:c r="H2" t="n">
        <x:f>'INPUT Data'!I7</x:f>
        <x:v>5</x:v>
      </x:c>
      <x:c r="I2" t="n">
        <x:f>'INPUT Data'!J7</x:f>
        <x:v>0</x:v>
      </x:c>
      <x:c r="J2" t="n">
        <x:f>'INPUT Data'!K7</x:f>
        <x:v>4.1</x:v>
      </x:c>
      <x:c r="K2" t="n">
        <x:f>'INPUT Data'!L7</x:f>
        <x:v>2.4</x:v>
      </x:c>
      <x:c r="L2" t="n">
        <x:f>'INPUT Data'!M7</x:f>
        <x:v>3.6</x:v>
      </x:c>
    </x:row>
    <x:row r="3">
      <x:c r="A3" t="n">
        <x:f>'INPUT Data'!B8</x:f>
        <x:v>0</x:v>
      </x:c>
      <x:c r="B3" t="n">
        <x:f>'INPUT Data'!C8</x:f>
        <x:v>0</x:v>
      </x:c>
      <x:c r="C3" t="str">
        <x:f>'INPUT Data'!D8</x:f>
        <x:v>B</x:v>
      </x:c>
      <x:c r="D3" t="n">
        <x:f>'INPUT Data'!E8</x:f>
        <x:v>0</x:v>
      </x:c>
      <x:c r="E3" t="n">
        <x:f>'INPUT Data'!F8</x:f>
        <x:v>0</x:v>
      </x:c>
      <x:c r="F3" t="n">
        <x:f>'INPUT Data'!G8</x:f>
        <x:v>0</x:v>
      </x:c>
      <x:c r="G3" t="n">
        <x:f>'INPUT Data'!H8</x:f>
        <x:v>0</x:v>
      </x:c>
      <x:c r="H3" t="n">
        <x:f>'INPUT Data'!I8</x:f>
        <x:v>5</x:v>
      </x:c>
      <x:c r="I3" t="n">
        <x:f>'INPUT Data'!J8</x:f>
        <x:v>0</x:v>
      </x:c>
      <x:c r="J3" t="n">
        <x:f>'INPUT Data'!K8</x:f>
        <x:v>3</x:v>
      </x:c>
      <x:c r="K3" t="n">
        <x:f>'INPUT Data'!L8</x:f>
        <x:v>3</x:v>
      </x:c>
      <x:c r="L3" t="n">
        <x:f>'INPUT Data'!M8</x:f>
        <x:v>3</x:v>
      </x:c>
    </x:row>
    <x:row r="4">
      <x:c r="A4" t="n">
        <x:f>'INPUT Data'!B9</x:f>
        <x:v>0</x:v>
      </x:c>
      <x:c r="B4" t="n">
        <x:f>'INPUT Data'!C9</x:f>
        <x:v>0</x:v>
      </x:c>
      <x:c r="C4" t="str">
        <x:f>'INPUT Data'!D9</x:f>
        <x:v>C</x:v>
      </x:c>
      <x:c r="D4" t="n">
        <x:f>'INPUT Data'!E9</x:f>
        <x:v>0</x:v>
      </x:c>
      <x:c r="E4" t="n">
        <x:f>'INPUT Data'!F9</x:f>
        <x:v>0</x:v>
      </x:c>
      <x:c r="F4" t="n">
        <x:f>'INPUT Data'!G9</x:f>
        <x:v>0</x:v>
      </x:c>
      <x:c r="G4" t="n">
        <x:f>'INPUT Data'!H9</x:f>
        <x:v>0</x:v>
      </x:c>
      <x:c r="H4" t="n">
        <x:f>'INPUT Data'!I9</x:f>
        <x:v>5</x:v>
      </x:c>
      <x:c r="I4" t="n">
        <x:f>'INPUT Data'!J9</x:f>
        <x:v>0</x:v>
      </x:c>
      <x:c r="J4" t="n">
        <x:f>'INPUT Data'!K9</x:f>
        <x:v>2.3</x:v>
      </x:c>
      <x:c r="K4" t="n">
        <x:f>'INPUT Data'!L9</x:f>
        <x:v>2.7</x:v>
      </x:c>
      <x:c r="L4" t="n">
        <x:f>'INPUT Data'!M9</x:f>
        <x:v>2.1</x:v>
      </x:c>
    </x:row>
    <x:row r="5">
      <x:c r="A5" t="n">
        <x:f>'INPUT Data'!B10</x:f>
        <x:v>0</x:v>
      </x:c>
      <x:c r="B5" t="n">
        <x:f>'INPUT Data'!C10</x:f>
        <x:v>0</x:v>
      </x:c>
      <x:c r="C5" t="str">
        <x:f>'INPUT Data'!D10</x:f>
        <x:v>D</x:v>
      </x:c>
      <x:c r="D5" t="n">
        <x:f>'INPUT Data'!E10</x:f>
        <x:v>0</x:v>
      </x:c>
      <x:c r="E5" t="n">
        <x:f>'INPUT Data'!F10</x:f>
        <x:v>0</x:v>
      </x:c>
      <x:c r="F5" t="n">
        <x:f>'INPUT Data'!G10</x:f>
        <x:v>0</x:v>
      </x:c>
      <x:c r="G5" t="n">
        <x:f>'INPUT Data'!H10</x:f>
        <x:v>0</x:v>
      </x:c>
      <x:c r="H5" t="n">
        <x:f>'INPUT Data'!I10</x:f>
        <x:v>6</x:v>
      </x:c>
      <x:c r="I5" t="n">
        <x:f>'INPUT Data'!J10</x:f>
        <x:v>0</x:v>
      </x:c>
      <x:c r="J5" t="n">
        <x:f>'INPUT Data'!K10</x:f>
        <x:v>3</x:v>
      </x:c>
      <x:c r="K5" t="n">
        <x:f>'INPUT Data'!L10</x:f>
        <x:v>1.8</x:v>
      </x:c>
      <x:c r="L5" t="n">
        <x:f>'INPUT Data'!M10</x:f>
        <x:v>3.8</x:v>
      </x:c>
    </x:row>
    <x:row r="6">
      <x:c r="A6" t="n">
        <x:f>'INPUT Data'!B11</x:f>
        <x:v>0</x:v>
      </x:c>
      <x:c r="B6" t="n">
        <x:f>'INPUT Data'!C11</x:f>
        <x:v>0</x:v>
      </x:c>
      <x:c r="C6" t="str">
        <x:f>'INPUT Data'!D11</x:f>
        <x:v>E</x:v>
      </x:c>
      <x:c r="D6" t="n">
        <x:f>'INPUT Data'!E11</x:f>
        <x:v>0</x:v>
      </x:c>
      <x:c r="E6" t="n">
        <x:f>'INPUT Data'!F11</x:f>
        <x:v>0</x:v>
      </x:c>
      <x:c r="F6" t="n">
        <x:f>'INPUT Data'!G11</x:f>
        <x:v>0</x:v>
      </x:c>
      <x:c r="G6" t="n">
        <x:f>'INPUT Data'!H11</x:f>
        <x:v>0</x:v>
      </x:c>
      <x:c r="H6" t="n">
        <x:f>'INPUT Data'!I11</x:f>
        <x:v>5</x:v>
      </x:c>
      <x:c r="I6" t="n">
        <x:f>'INPUT Data'!J11</x:f>
        <x:v>0</x:v>
      </x:c>
      <x:c r="J6" t="n">
        <x:f>'INPUT Data'!K11</x:f>
        <x:v>2.7</x:v>
      </x:c>
      <x:c r="K6" t="n">
        <x:f>'INPUT Data'!L11</x:f>
        <x:v>2.8</x:v>
      </x:c>
      <x:c r="L6" t="n">
        <x:f>'INPUT Data'!M11</x:f>
        <x:v>3.2</x:v>
      </x:c>
    </x:row>
    <x:row r="7">
      <x:c r="A7" t="n">
        <x:f>'INPUT Data'!B12</x:f>
        <x:v>0</x:v>
      </x:c>
      <x:c r="B7" t="n">
        <x:f>'INPUT Data'!C12</x:f>
        <x:v>0</x:v>
      </x:c>
      <x:c r="C7" t="str">
        <x:f>'INPUT Data'!D12</x:f>
        <x:v>F</x:v>
      </x:c>
      <x:c r="D7" t="n">
        <x:f>'INPUT Data'!E12</x:f>
        <x:v>0</x:v>
      </x:c>
      <x:c r="E7" t="n">
        <x:f>'INPUT Data'!F12</x:f>
        <x:v>0</x:v>
      </x:c>
      <x:c r="F7" t="n">
        <x:f>'INPUT Data'!G12</x:f>
        <x:v>0</x:v>
      </x:c>
      <x:c r="G7" t="n">
        <x:f>'INPUT Data'!H12</x:f>
        <x:v>0</x:v>
      </x:c>
      <x:c r="H7" t="n">
        <x:f>'INPUT Data'!I12</x:f>
        <x:v>7</x:v>
      </x:c>
      <x:c r="I7" t="n">
        <x:f>'INPUT Data'!J12</x:f>
        <x:v>0</x:v>
      </x:c>
      <x:c r="J7" t="n">
        <x:f>'INPUT Data'!K12</x:f>
        <x:v>3</x:v>
      </x:c>
      <x:c r="K7" t="n">
        <x:f>'INPUT Data'!L12</x:f>
        <x:v>4.5</x:v>
      </x:c>
      <x:c r="L7" t="n">
        <x:f>'INPUT Data'!M12</x:f>
        <x:v>4.5</x:v>
      </x:c>
    </x:row>
    <x:row r="8">
      <x:c r="A8" t="n">
        <x:f>'INPUT Data'!B13</x:f>
        <x:v>0</x:v>
      </x:c>
      <x:c r="B8" t="n">
        <x:f>'INPUT Data'!C13</x:f>
        <x:v>0</x:v>
      </x:c>
      <x:c r="C8" t="str">
        <x:f>'INPUT Data'!D13</x:f>
        <x:v>G</x:v>
      </x:c>
      <x:c r="D8" t="n">
        <x:f>'INPUT Data'!E13</x:f>
        <x:v>0</x:v>
      </x:c>
      <x:c r="E8" t="n">
        <x:f>'INPUT Data'!F13</x:f>
        <x:v>0</x:v>
      </x:c>
      <x:c r="F8" t="n">
        <x:f>'INPUT Data'!G13</x:f>
        <x:v>0</x:v>
      </x:c>
      <x:c r="G8" t="n">
        <x:f>'INPUT Data'!H13</x:f>
        <x:v>0</x:v>
      </x:c>
      <x:c r="H8" t="n">
        <x:f>'INPUT Data'!I13</x:f>
        <x:v>5</x:v>
      </x:c>
      <x:c r="I8" t="n">
        <x:f>'INPUT Data'!J13</x:f>
        <x:v>0</x:v>
      </x:c>
      <x:c r="J8" t="n">
        <x:f>'INPUT Data'!K13</x:f>
        <x:v>0</x:v>
      </x:c>
      <x:c r="K8" t="n">
        <x:f>'INPUT Data'!L13</x:f>
        <x:v>0</x:v>
      </x:c>
      <x:c r="L8" t="n">
        <x:f>'INPUT Data'!M13</x:f>
        <x:v>0</x:v>
      </x:c>
    </x:row>
    <x:row r="9">
      <x:c r="A9" t="n">
        <x:f>'INPUT Data'!B14</x:f>
        <x:v>0</x:v>
      </x:c>
      <x:c r="B9" t="n">
        <x:f>'INPUT Data'!C14</x:f>
        <x:v>0</x:v>
      </x:c>
      <x:c r="C9" t="str">
        <x:f>'INPUT Data'!D14</x:f>
        <x:v>H</x:v>
      </x:c>
      <x:c r="D9" t="n">
        <x:f>'INPUT Data'!E14</x:f>
        <x:v>0</x:v>
      </x:c>
      <x:c r="E9" t="n">
        <x:f>'INPUT Data'!F14</x:f>
        <x:v>0</x:v>
      </x:c>
      <x:c r="F9" t="n">
        <x:f>'INPUT Data'!G14</x:f>
        <x:v>0</x:v>
      </x:c>
      <x:c r="G9" t="n">
        <x:f>'INPUT Data'!H14</x:f>
        <x:v>0</x:v>
      </x:c>
      <x:c r="H9" t="n">
        <x:f>'INPUT Data'!I14</x:f>
        <x:v>7</x:v>
      </x:c>
      <x:c r="I9" t="n">
        <x:f>'INPUT Data'!J14</x:f>
        <x:v>0.7</x:v>
      </x:c>
      <x:c r="J9" t="n">
        <x:f>'INPUT Data'!K14</x:f>
        <x:v>0</x:v>
      </x:c>
      <x:c r="K9" t="n">
        <x:f>'INPUT Data'!L14</x:f>
        <x:v>0</x:v>
      </x:c>
      <x:c r="L9" t="n">
        <x:f>'INPUT Data'!M14</x:f>
        <x:v>0</x:v>
      </x:c>
    </x:row>
    <x:row r="10">
      <x:c r="A10" t="n">
        <x:f>'INPUT Data'!B30</x:f>
        <x:v>0</x:v>
      </x:c>
      <x:c r="B10" t="n">
        <x:f>'INPUT Data'!C30</x:f>
        <x:v>0</x:v>
      </x:c>
      <x:c r="C10" t="str">
        <x:f>'INPUT Data'!D30</x:f>
        <x:v>A</x:v>
      </x:c>
      <x:c r="D10" t="n">
        <x:f>'INPUT Data'!E30</x:f>
        <x:v>0</x:v>
      </x:c>
      <x:c r="E10" t="n">
        <x:f>'INPUT Data'!F30</x:f>
        <x:v>0</x:v>
      </x:c>
      <x:c r="F10" t="n">
        <x:f>'INPUT Data'!G30</x:f>
        <x:v>0</x:v>
      </x:c>
      <x:c r="G10" t="n">
        <x:f>'INPUT Data'!H30</x:f>
        <x:v>4</x:v>
      </x:c>
      <x:c r="H10" t="n">
        <x:f>'INPUT Data'!I30</x:f>
        <x:v>0</x:v>
      </x:c>
      <x:c r="I10" t="n">
        <x:f>'INPUT Data'!J30</x:f>
        <x:v>0</x:v>
      </x:c>
      <x:c r="J10" t="n">
        <x:f>'INPUT Data'!K30</x:f>
        <x:v>3</x:v>
      </x:c>
      <x:c r="K10" t="n">
        <x:f>'INPUT Data'!L30</x:f>
        <x:v>0</x:v>
      </x:c>
      <x:c r="L10" t="n">
        <x:f>'INPUT Data'!M30</x:f>
        <x:v>0</x:v>
      </x:c>
    </x:row>
    <x:row r="11">
      <x:c r="A11" t="n">
        <x:f>'INPUT Data'!B31</x:f>
        <x:v>0</x:v>
      </x:c>
      <x:c r="B11" t="n">
        <x:f>'INPUT Data'!C31</x:f>
        <x:v>0</x:v>
      </x:c>
      <x:c r="C11" t="str">
        <x:f>'INPUT Data'!D31</x:f>
        <x:v>B</x:v>
      </x:c>
      <x:c r="D11" t="n">
        <x:f>'INPUT Data'!E31</x:f>
        <x:v>0</x:v>
      </x:c>
      <x:c r="E11" t="n">
        <x:f>'INPUT Data'!F31</x:f>
        <x:v>0</x:v>
      </x:c>
      <x:c r="F11" t="n">
        <x:f>'INPUT Data'!G31</x:f>
        <x:v>0</x:v>
      </x:c>
      <x:c r="G11" t="n">
        <x:f>'INPUT Data'!H31</x:f>
        <x:v>4</x:v>
      </x:c>
      <x:c r="H11" t="n">
        <x:f>'INPUT Data'!I31</x:f>
        <x:v>0</x:v>
      </x:c>
      <x:c r="I11" t="n">
        <x:f>'INPUT Data'!J31</x:f>
        <x:v>0</x:v>
      </x:c>
      <x:c r="J11" t="n">
        <x:f>'INPUT Data'!K31</x:f>
        <x:v>3</x:v>
      </x:c>
      <x:c r="K11" t="n">
        <x:f>'INPUT Data'!L31</x:f>
        <x:v>0</x:v>
      </x:c>
      <x:c r="L11" t="n">
        <x:f>'INPUT Data'!M31</x:f>
        <x:v>0</x:v>
      </x:c>
    </x:row>
    <x:row r="12">
      <x:c r="A12" t="n">
        <x:f>'INPUT Data'!B32</x:f>
        <x:v>0</x:v>
      </x:c>
      <x:c r="B12" t="n">
        <x:f>'INPUT Data'!C32</x:f>
        <x:v>0</x:v>
      </x:c>
      <x:c r="C12" t="str">
        <x:f>'INPUT Data'!D32</x:f>
        <x:v>C</x:v>
      </x:c>
      <x:c r="D12" t="n">
        <x:f>'INPUT Data'!E32</x:f>
        <x:v>0</x:v>
      </x:c>
      <x:c r="E12" t="n">
        <x:f>'INPUT Data'!F32</x:f>
        <x:v>0</x:v>
      </x:c>
      <x:c r="F12" t="n">
        <x:f>'INPUT Data'!G32</x:f>
        <x:v>0</x:v>
      </x:c>
      <x:c r="G12" t="n">
        <x:f>'INPUT Data'!H32</x:f>
        <x:v>4</x:v>
      </x:c>
      <x:c r="H12" t="n">
        <x:f>'INPUT Data'!I32</x:f>
        <x:v>0</x:v>
      </x:c>
      <x:c r="I12" t="n">
        <x:f>'INPUT Data'!J32</x:f>
        <x:v>0</x:v>
      </x:c>
      <x:c r="J12" t="n">
        <x:f>'INPUT Data'!K32</x:f>
        <x:v>3</x:v>
      </x:c>
      <x:c r="K12" t="n">
        <x:f>'INPUT Data'!L32</x:f>
        <x:v>0</x:v>
      </x:c>
      <x:c r="L12" t="n">
        <x:f>'INPUT Data'!M32</x:f>
        <x:v>0</x:v>
      </x:c>
    </x:row>
    <x:row r="13">
      <x:c r="A13" t="n">
        <x:f>'INPUT Data'!B33</x:f>
        <x:v>0</x:v>
      </x:c>
      <x:c r="B13" t="n">
        <x:f>'INPUT Data'!C33</x:f>
        <x:v>0</x:v>
      </x:c>
      <x:c r="C13" t="str">
        <x:f>'INPUT Data'!D33</x:f>
        <x:v>D</x:v>
      </x:c>
      <x:c r="D13" t="n">
        <x:f>'INPUT Data'!E33</x:f>
        <x:v>0</x:v>
      </x:c>
      <x:c r="E13" t="n">
        <x:f>'INPUT Data'!F33</x:f>
        <x:v>0</x:v>
      </x:c>
      <x:c r="F13" t="n">
        <x:f>'INPUT Data'!G33</x:f>
        <x:v>0</x:v>
      </x:c>
      <x:c r="G13" t="n">
        <x:f>'INPUT Data'!H33</x:f>
        <x:v>4</x:v>
      </x:c>
      <x:c r="H13" t="n">
        <x:f>'INPUT Data'!I33</x:f>
        <x:v>0</x:v>
      </x:c>
      <x:c r="I13" t="n">
        <x:f>'INPUT Data'!J33</x:f>
        <x:v>0</x:v>
      </x:c>
      <x:c r="J13" t="n">
        <x:f>'INPUT Data'!K33</x:f>
        <x:v>3</x:v>
      </x:c>
      <x:c r="K13" t="n">
        <x:f>'INPUT Data'!L33</x:f>
        <x:v>0</x:v>
      </x:c>
      <x:c r="L13" t="n">
        <x:f>'INPUT Data'!M33</x:f>
        <x:v>0</x:v>
      </x:c>
    </x:row>
    <x:row r="14">
      <x:c r="A14" t="n">
        <x:f>'INPUT Data'!B34</x:f>
        <x:v>0</x:v>
      </x:c>
      <x:c r="B14" t="n">
        <x:f>'INPUT Data'!C34</x:f>
        <x:v>0</x:v>
      </x:c>
      <x:c r="C14" t="str">
        <x:f>'INPUT Data'!D34</x:f>
        <x:v>E</x:v>
      </x:c>
      <x:c r="D14" t="n">
        <x:f>'INPUT Data'!E34</x:f>
        <x:v>0</x:v>
      </x:c>
      <x:c r="E14" t="n">
        <x:f>'INPUT Data'!F34</x:f>
        <x:v>0</x:v>
      </x:c>
      <x:c r="F14" t="n">
        <x:f>'INPUT Data'!G34</x:f>
        <x:v>0</x:v>
      </x:c>
      <x:c r="G14" t="n">
        <x:f>'INPUT Data'!H34</x:f>
        <x:v>4</x:v>
      </x:c>
      <x:c r="H14" t="n">
        <x:f>'INPUT Data'!I34</x:f>
        <x:v>0</x:v>
      </x:c>
      <x:c r="I14" t="n">
        <x:f>'INPUT Data'!J34</x:f>
        <x:v>0</x:v>
      </x:c>
      <x:c r="J14" t="n">
        <x:f>'INPUT Data'!K34</x:f>
        <x:v>3</x:v>
      </x:c>
      <x:c r="K14" t="n">
        <x:f>'INPUT Data'!L34</x:f>
        <x:v>0</x:v>
      </x:c>
      <x:c r="L14" t="n">
        <x:f>'INPUT Data'!M34</x:f>
        <x:v>0</x:v>
      </x:c>
    </x:row>
    <x:row r="15">
      <x:c r="A15" t="n">
        <x:f>'INPUT Data'!B35</x:f>
        <x:v>0</x:v>
      </x:c>
      <x:c r="B15" t="n">
        <x:f>'INPUT Data'!C35</x:f>
        <x:v>0</x:v>
      </x:c>
      <x:c r="C15" t="str">
        <x:f>'INPUT Data'!D35</x:f>
        <x:v>F</x:v>
      </x:c>
      <x:c r="D15" t="n">
        <x:f>'INPUT Data'!E35</x:f>
        <x:v>0</x:v>
      </x:c>
      <x:c r="E15" t="n">
        <x:f>'INPUT Data'!F35</x:f>
        <x:v>0</x:v>
      </x:c>
      <x:c r="F15" t="n">
        <x:f>'INPUT Data'!G35</x:f>
        <x:v>0</x:v>
      </x:c>
      <x:c r="G15" t="n">
        <x:f>'INPUT Data'!H35</x:f>
        <x:v>4</x:v>
      </x:c>
      <x:c r="H15" t="n">
        <x:f>'INPUT Data'!I35</x:f>
        <x:v>0</x:v>
      </x:c>
      <x:c r="I15" t="n">
        <x:f>'INPUT Data'!J35</x:f>
        <x:v>0</x:v>
      </x:c>
      <x:c r="J15" t="n">
        <x:f>'INPUT Data'!K35</x:f>
        <x:v>3</x:v>
      </x:c>
      <x:c r="K15" t="n">
        <x:f>'INPUT Data'!L35</x:f>
        <x:v>0</x:v>
      </x:c>
      <x:c r="L15" t="n">
        <x:f>'INPUT Data'!M35</x:f>
        <x:v>0</x:v>
      </x:c>
    </x:row>
    <x:row r="16">
      <x:c r="A16" t="n">
        <x:f>'INPUT Data'!B36</x:f>
        <x:v>0</x:v>
      </x:c>
      <x:c r="B16" t="n">
        <x:f>'INPUT Data'!C36</x:f>
        <x:v>0</x:v>
      </x:c>
      <x:c r="C16" t="str">
        <x:f>'INPUT Data'!D36</x:f>
        <x:v>G</x:v>
      </x:c>
      <x:c r="D16" t="n">
        <x:f>'INPUT Data'!E36</x:f>
        <x:v>0</x:v>
      </x:c>
      <x:c r="E16" t="n">
        <x:f>'INPUT Data'!F36</x:f>
        <x:v>0</x:v>
      </x:c>
      <x:c r="F16" t="n">
        <x:f>'INPUT Data'!G36</x:f>
        <x:v>0</x:v>
      </x:c>
      <x:c r="G16" t="n">
        <x:f>'INPUT Data'!H36</x:f>
        <x:v>4</x:v>
      </x:c>
      <x:c r="H16" t="n">
        <x:f>'INPUT Data'!I36</x:f>
        <x:v>0</x:v>
      </x:c>
      <x:c r="I16" t="n">
        <x:f>'INPUT Data'!J36</x:f>
        <x:v>0</x:v>
      </x:c>
      <x:c r="J16" t="n">
        <x:f>'INPUT Data'!K36</x:f>
        <x:v>3</x:v>
      </x:c>
      <x:c r="K16" t="n">
        <x:f>'INPUT Data'!L36</x:f>
        <x:v>0</x:v>
      </x:c>
      <x:c r="L16" t="n">
        <x:f>'INPUT Data'!M36</x:f>
        <x:v>0</x:v>
      </x:c>
    </x:row>
    <x:row r="17">
      <x:c r="A17" t="n">
        <x:f>'INPUT Data'!B37</x:f>
        <x:v>0</x:v>
      </x:c>
      <x:c r="B17" t="n">
        <x:f>'INPUT Data'!C37</x:f>
        <x:v>0</x:v>
      </x:c>
      <x:c r="C17" t="str">
        <x:f>'INPUT Data'!D37</x:f>
        <x:v>H</x:v>
      </x:c>
      <x:c r="D17" t="n">
        <x:f>'INPUT Data'!E37</x:f>
        <x:v>0</x:v>
      </x:c>
      <x:c r="E17" t="n">
        <x:f>'INPUT Data'!F37</x:f>
        <x:v>0</x:v>
      </x:c>
      <x:c r="F17" t="n">
        <x:f>'INPUT Data'!G37</x:f>
        <x:v>1</x:v>
      </x:c>
      <x:c r="G17" t="n">
        <x:f>'INPUT Data'!H37</x:f>
        <x:v>4</x:v>
      </x:c>
      <x:c r="H17" t="n">
        <x:f>'INPUT Data'!I37</x:f>
        <x:v>0</x:v>
      </x:c>
      <x:c r="I17" t="n">
        <x:f>'INPUT Data'!J37</x:f>
        <x:v>1</x:v>
      </x:c>
      <x:c r="J17" t="n">
        <x:f>'INPUT Data'!K37</x:f>
        <x:v>3</x:v>
      </x:c>
      <x:c r="K17" t="n">
        <x:f>'INPUT Data'!L37</x:f>
        <x:v>0</x:v>
      </x:c>
      <x:c r="L17" t="n">
        <x:f>'INPUT Data'!M37</x:f>
        <x:v>0</x:v>
      </x:c>
    </x:row>
    <x:row r="18">
      <x:c r="A18" t="n">
        <x:f>'INPUT Data'!B53</x:f>
        <x:v>0</x:v>
      </x:c>
      <x:c r="B18" t="n">
        <x:f>'INPUT Data'!C53</x:f>
        <x:v>0</x:v>
      </x:c>
      <x:c r="C18" t="str">
        <x:f>'INPUT Data'!D53</x:f>
        <x:v>A</x:v>
      </x:c>
      <x:c r="D18" t="n">
        <x:f>'INPUT Data'!E53</x:f>
        <x:v>1.3</x:v>
      </x:c>
      <x:c r="E18" t="n">
        <x:f>'INPUT Data'!F53</x:f>
        <x:v>0</x:v>
      </x:c>
      <x:c r="F18" t="n">
        <x:f>'INPUT Data'!G53</x:f>
        <x:v>0</x:v>
      </x:c>
      <x:c r="G18" t="n">
        <x:f>'INPUT Data'!H53</x:f>
        <x:v>7</x:v>
      </x:c>
      <x:c r="H18" t="n">
        <x:f>'INPUT Data'!I53</x:f>
        <x:v>0</x:v>
      </x:c>
      <x:c r="I18" t="n">
        <x:f>'INPUT Data'!J53</x:f>
        <x:v>0</x:v>
      </x:c>
      <x:c r="J18" t="n">
        <x:f>'INPUT Data'!K53</x:f>
        <x:v>0</x:v>
      </x:c>
      <x:c r="K18" t="n">
        <x:f>'INPUT Data'!L53</x:f>
        <x:v>0</x:v>
      </x:c>
      <x:c r="L18" t="n">
        <x:f>'INPUT Data'!M53</x:f>
        <x:v>0</x:v>
      </x:c>
    </x:row>
    <x:row r="19">
      <x:c r="A19" t="n">
        <x:f>'INPUT Data'!B54</x:f>
        <x:v>0</x:v>
      </x:c>
      <x:c r="B19" t="n">
        <x:f>'INPUT Data'!C54</x:f>
        <x:v>0</x:v>
      </x:c>
      <x:c r="C19" t="str">
        <x:f>'INPUT Data'!D54</x:f>
        <x:v>B</x:v>
      </x:c>
      <x:c r="D19" t="n">
        <x:f>'INPUT Data'!E54</x:f>
        <x:v>0</x:v>
      </x:c>
      <x:c r="E19" t="n">
        <x:f>'INPUT Data'!F54</x:f>
        <x:v>0</x:v>
      </x:c>
      <x:c r="F19" t="n">
        <x:f>'INPUT Data'!G54</x:f>
        <x:v>0</x:v>
      </x:c>
      <x:c r="G19" t="n">
        <x:f>'INPUT Data'!H54</x:f>
        <x:v>7</x:v>
      </x:c>
      <x:c r="H19" t="n">
        <x:f>'INPUT Data'!I54</x:f>
        <x:v>0</x:v>
      </x:c>
      <x:c r="I19" t="n">
        <x:f>'INPUT Data'!J54</x:f>
        <x:v>0</x:v>
      </x:c>
      <x:c r="J19" t="n">
        <x:f>'INPUT Data'!K54</x:f>
        <x:v>1</x:v>
      </x:c>
      <x:c r="K19" t="n">
        <x:f>'INPUT Data'!L54</x:f>
        <x:v>0</x:v>
      </x:c>
      <x:c r="L19" t="n">
        <x:f>'INPUT Data'!M54</x:f>
        <x:v>0</x:v>
      </x:c>
    </x:row>
    <x:row r="20">
      <x:c r="A20" t="n">
        <x:f>'INPUT Data'!B55</x:f>
        <x:v>0</x:v>
      </x:c>
      <x:c r="B20" t="n">
        <x:f>'INPUT Data'!C55</x:f>
        <x:v>0</x:v>
      </x:c>
      <x:c r="C20" t="str">
        <x:f>'INPUT Data'!D55</x:f>
        <x:v>C</x:v>
      </x:c>
      <x:c r="D20" t="n">
        <x:f>'INPUT Data'!E55</x:f>
        <x:v>0</x:v>
      </x:c>
      <x:c r="E20" t="n">
        <x:f>'INPUT Data'!F55</x:f>
        <x:v>0</x:v>
      </x:c>
      <x:c r="F20" t="n">
        <x:f>'INPUT Data'!G55</x:f>
        <x:v>0</x:v>
      </x:c>
      <x:c r="G20" t="n">
        <x:f>'INPUT Data'!H55</x:f>
        <x:v>7</x:v>
      </x:c>
      <x:c r="H20" t="n">
        <x:f>'INPUT Data'!I55</x:f>
        <x:v>0</x:v>
      </x:c>
      <x:c r="I20" t="n">
        <x:f>'INPUT Data'!J55</x:f>
        <x:v>0</x:v>
      </x:c>
      <x:c r="J20" t="n">
        <x:f>'INPUT Data'!K55</x:f>
        <x:v>1</x:v>
      </x:c>
      <x:c r="K20" t="n">
        <x:f>'INPUT Data'!L55</x:f>
        <x:v>0</x:v>
      </x:c>
      <x:c r="L20" t="n">
        <x:f>'INPUT Data'!M55</x:f>
        <x:v>0</x:v>
      </x:c>
    </x:row>
    <x:row r="21">
      <x:c r="A21" t="n">
        <x:f>'INPUT Data'!B56</x:f>
        <x:v>0</x:v>
      </x:c>
      <x:c r="B21" t="n">
        <x:f>'INPUT Data'!C56</x:f>
        <x:v>0</x:v>
      </x:c>
      <x:c r="C21" t="str">
        <x:f>'INPUT Data'!D56</x:f>
        <x:v>D</x:v>
      </x:c>
      <x:c r="D21" t="n">
        <x:f>'INPUT Data'!E56</x:f>
        <x:v>0</x:v>
      </x:c>
      <x:c r="E21" t="n">
        <x:f>'INPUT Data'!F56</x:f>
        <x:v>0</x:v>
      </x:c>
      <x:c r="F21" t="n">
        <x:f>'INPUT Data'!G56</x:f>
        <x:v>0</x:v>
      </x:c>
      <x:c r="G21" t="n">
        <x:f>'INPUT Data'!H56</x:f>
        <x:v>7</x:v>
      </x:c>
      <x:c r="H21" t="n">
        <x:f>'INPUT Data'!I56</x:f>
        <x:v>0</x:v>
      </x:c>
      <x:c r="I21" t="n">
        <x:f>'INPUT Data'!J56</x:f>
        <x:v>0</x:v>
      </x:c>
      <x:c r="J21" t="n">
        <x:f>'INPUT Data'!K56</x:f>
        <x:v>1</x:v>
      </x:c>
      <x:c r="K21" t="n">
        <x:f>'INPUT Data'!L56</x:f>
        <x:v>0</x:v>
      </x:c>
      <x:c r="L21" t="n">
        <x:f>'INPUT Data'!M56</x:f>
        <x:v>0</x:v>
      </x:c>
    </x:row>
    <x:row r="22">
      <x:c r="A22" t="n">
        <x:f>'INPUT Data'!B57</x:f>
        <x:v>0</x:v>
      </x:c>
      <x:c r="B22" t="n">
        <x:f>'INPUT Data'!C57</x:f>
        <x:v>0</x:v>
      </x:c>
      <x:c r="C22" t="str">
        <x:f>'INPUT Data'!D57</x:f>
        <x:v>E</x:v>
      </x:c>
      <x:c r="D22" t="n">
        <x:f>'INPUT Data'!E57</x:f>
        <x:v>1.2</x:v>
      </x:c>
      <x:c r="E22" t="n">
        <x:f>'INPUT Data'!F57</x:f>
        <x:v>0</x:v>
      </x:c>
      <x:c r="F22" t="n">
        <x:f>'INPUT Data'!G57</x:f>
        <x:v>0</x:v>
      </x:c>
      <x:c r="G22" t="n">
        <x:f>'INPUT Data'!H57</x:f>
        <x:v>7</x:v>
      </x:c>
      <x:c r="H22" t="n">
        <x:f>'INPUT Data'!I57</x:f>
        <x:v>0</x:v>
      </x:c>
      <x:c r="I22" t="n">
        <x:f>'INPUT Data'!J57</x:f>
        <x:v>0</x:v>
      </x:c>
      <x:c r="J22" t="n">
        <x:f>'INPUT Data'!K57</x:f>
        <x:v>1</x:v>
      </x:c>
      <x:c r="K22" t="n">
        <x:f>'INPUT Data'!L57</x:f>
        <x:v>0</x:v>
      </x:c>
      <x:c r="L22" t="n">
        <x:f>'INPUT Data'!M57</x:f>
        <x:v>0</x:v>
      </x:c>
    </x:row>
    <x:row r="23">
      <x:c r="A23" t="n">
        <x:f>'INPUT Data'!B59</x:f>
        <x:v>0</x:v>
      </x:c>
      <x:c r="B23" t="n">
        <x:f>'INPUT Data'!C59</x:f>
        <x:v>0</x:v>
      </x:c>
      <x:c r="C23" t="str">
        <x:f>'INPUT Data'!D59</x:f>
        <x:v>G</x:v>
      </x:c>
      <x:c r="D23" t="n">
        <x:f>'INPUT Data'!E59</x:f>
        <x:v>0</x:v>
      </x:c>
      <x:c r="E23" t="n">
        <x:f>'INPUT Data'!F59</x:f>
        <x:v>0</x:v>
      </x:c>
      <x:c r="F23" t="n">
        <x:f>'INPUT Data'!G59</x:f>
        <x:v>0</x:v>
      </x:c>
      <x:c r="G23" t="n">
        <x:f>'INPUT Data'!H59</x:f>
        <x:v>7</x:v>
      </x:c>
      <x:c r="H23" t="n">
        <x:f>'INPUT Data'!I59</x:f>
        <x:v>0</x:v>
      </x:c>
      <x:c r="I23" t="n">
        <x:f>'INPUT Data'!J59</x:f>
        <x:v>0</x:v>
      </x:c>
      <x:c r="J23" t="n">
        <x:f>'INPUT Data'!K59</x:f>
        <x:v>1</x:v>
      </x:c>
      <x:c r="K23" t="n">
        <x:f>'INPUT Data'!L59</x:f>
        <x:v>0</x:v>
      </x:c>
      <x:c r="L23" t="n">
        <x:f>'INPUT Data'!M59</x:f>
        <x:v>0</x:v>
      </x:c>
    </x:row>
    <x:row r="24">
      <x:c r="A24" t="n">
        <x:f>'INPUT Data'!B60</x:f>
        <x:v>0</x:v>
      </x:c>
      <x:c r="B24" t="n">
        <x:f>'INPUT Data'!C60</x:f>
        <x:v>0</x:v>
      </x:c>
      <x:c r="C24" t="str">
        <x:f>'INPUT Data'!D60</x:f>
        <x:v>H</x:v>
      </x:c>
      <x:c r="D24" t="n">
        <x:f>'INPUT Data'!E60</x:f>
        <x:v>0</x:v>
      </x:c>
      <x:c r="E24" t="n">
        <x:f>'INPUT Data'!F60</x:f>
        <x:v>0</x:v>
      </x:c>
      <x:c r="F24" t="n">
        <x:f>'INPUT Data'!G60</x:f>
        <x:v>0</x:v>
      </x:c>
      <x:c r="G24" t="n">
        <x:f>'INPUT Data'!H60</x:f>
        <x:v>7</x:v>
      </x:c>
      <x:c r="H24" t="n">
        <x:f>'INPUT Data'!I60</x:f>
        <x:v>0</x:v>
      </x:c>
      <x:c r="I24" t="n">
        <x:f>'INPUT Data'!J60</x:f>
        <x:v>0</x:v>
      </x:c>
      <x:c r="J24" t="n">
        <x:f>'INPUT Data'!K60</x:f>
        <x:v>1</x:v>
      </x:c>
      <x:c r="K24" t="n">
        <x:f>'INPUT Data'!L60</x:f>
        <x:v>0</x:v>
      </x:c>
      <x:c r="L24" t="n">
        <x:f>'INPUT Data'!M60</x:f>
        <x:v>0</x:v>
      </x:c>
    </x:row>
    <x:row r="25">
      <x:c r="A25" t="n">
        <x:f>'INPUT Data'!B66</x:f>
        <x:v>0</x:v>
      </x:c>
      <x:c r="B25" t="n">
        <x:f>'INPUT Data'!C66</x:f>
        <x:v>0</x:v>
      </x:c>
      <x:c r="C25" t="str">
        <x:f>'INPUT Data'!D66</x:f>
        <x:v>N</x:v>
      </x:c>
      <x:c r="D25" t="n">
        <x:f>'INPUT Data'!E66</x:f>
        <x:v>0</x:v>
      </x:c>
      <x:c r="E25" t="n">
        <x:f>'INPUT Data'!F66</x:f>
        <x:v>0</x:v>
      </x:c>
      <x:c r="F25" t="n">
        <x:f>'INPUT Data'!G66</x:f>
        <x:v>0</x:v>
      </x:c>
      <x:c r="G25" t="n">
        <x:f>'INPUT Data'!H66</x:f>
        <x:v>0</x:v>
      </x:c>
      <x:c r="H25" t="n">
        <x:f>'INPUT Data'!I66</x:f>
        <x:v>0</x:v>
      </x:c>
      <x:c r="I25" t="n">
        <x:f>'INPUT Data'!J66</x:f>
        <x:v>0</x:v>
      </x:c>
      <x:c r="J25" t="n">
        <x:f>'INPUT Data'!K66</x:f>
        <x:v>0</x:v>
      </x:c>
      <x:c r="K25" t="n">
        <x:f>'INPUT Data'!L66</x:f>
        <x:v>0</x:v>
      </x:c>
      <x:c r="L25" t="n">
        <x:f>'INPUT Data'!M66</x:f>
        <x:v>0</x:v>
      </x:c>
    </x:row>
    <x:row r="26">
      <x:c r="A26" t="n">
        <x:f>'INPUT Data'!B76</x:f>
        <x:v>0</x:v>
      </x:c>
      <x:c r="B26" t="n">
        <x:f>'INPUT Data'!C76</x:f>
        <x:v>0</x:v>
      </x:c>
      <x:c r="C26" t="str">
        <x:f>'INPUT Data'!D76</x:f>
        <x:v>A</x:v>
      </x:c>
      <x:c r="D26" t="n">
        <x:f>'INPUT Data'!E76</x:f>
        <x:v>0</x:v>
      </x:c>
      <x:c r="E26" t="n">
        <x:f>'INPUT Data'!F76</x:f>
        <x:v>0</x:v>
      </x:c>
      <x:c r="F26" t="n">
        <x:f>'INPUT Data'!G76</x:f>
        <x:v>0</x:v>
      </x:c>
      <x:c r="G26" t="n">
        <x:f>'INPUT Data'!H76</x:f>
        <x:v>2</x:v>
      </x:c>
      <x:c r="H26" t="n">
        <x:f>'INPUT Data'!I76</x:f>
        <x:v>0</x:v>
      </x:c>
      <x:c r="I26" t="n">
        <x:f>'INPUT Data'!J76</x:f>
        <x:v>0</x:v>
      </x:c>
      <x:c r="J26" t="n">
        <x:f>'INPUT Data'!K76</x:f>
        <x:v>3</x:v>
      </x:c>
      <x:c r="K26" t="n">
        <x:f>'INPUT Data'!L76</x:f>
        <x:v>0</x:v>
      </x:c>
      <x:c r="L26" t="n">
        <x:f>'INPUT Data'!M76</x:f>
        <x:v>0</x:v>
      </x:c>
    </x:row>
    <x:row r="27">
      <x:c r="A27" t="n">
        <x:f>'INPUT Data'!B77</x:f>
        <x:v>0</x:v>
      </x:c>
      <x:c r="B27" t="n">
        <x:f>'INPUT Data'!C77</x:f>
        <x:v>0</x:v>
      </x:c>
      <x:c r="C27" t="str">
        <x:f>'INPUT Data'!D77</x:f>
        <x:v>B</x:v>
      </x:c>
      <x:c r="D27" t="n">
        <x:f>'INPUT Data'!E77</x:f>
        <x:v>0</x:v>
      </x:c>
      <x:c r="E27" t="n">
        <x:f>'INPUT Data'!F77</x:f>
        <x:v>0</x:v>
      </x:c>
      <x:c r="F27" t="n">
        <x:f>'INPUT Data'!G77</x:f>
        <x:v>0</x:v>
      </x:c>
      <x:c r="G27" t="n">
        <x:f>'INPUT Data'!H77</x:f>
        <x:v>2</x:v>
      </x:c>
      <x:c r="H27" t="n">
        <x:f>'INPUT Data'!I77</x:f>
        <x:v>0</x:v>
      </x:c>
      <x:c r="I27" t="n">
        <x:f>'INPUT Data'!J77</x:f>
        <x:v>0</x:v>
      </x:c>
      <x:c r="J27" t="n">
        <x:f>'INPUT Data'!K77</x:f>
        <x:v>3</x:v>
      </x:c>
      <x:c r="K27" t="n">
        <x:f>'INPUT Data'!L77</x:f>
        <x:v>0</x:v>
      </x:c>
      <x:c r="L27" t="n">
        <x:f>'INPUT Data'!M77</x:f>
        <x:v>0</x:v>
      </x:c>
    </x:row>
    <x:row r="28">
      <x:c r="A28" t="n">
        <x:f>'INPUT Data'!B79</x:f>
        <x:v>0</x:v>
      </x:c>
      <x:c r="B28" t="n">
        <x:f>'INPUT Data'!C79</x:f>
        <x:v>0</x:v>
      </x:c>
      <x:c r="C28" t="str">
        <x:f>'INPUT Data'!D79</x:f>
        <x:v>D</x:v>
      </x:c>
      <x:c r="D28" t="n">
        <x:f>'INPUT Data'!E79</x:f>
        <x:v>0</x:v>
      </x:c>
      <x:c r="E28" t="n">
        <x:f>'INPUT Data'!F79</x:f>
        <x:v>0</x:v>
      </x:c>
      <x:c r="F28" t="n">
        <x:f>'INPUT Data'!G79</x:f>
        <x:v>2.5</x:v>
      </x:c>
      <x:c r="G28" t="n">
        <x:f>'INPUT Data'!H79</x:f>
        <x:v>2</x:v>
      </x:c>
      <x:c r="H28" t="n">
        <x:f>'INPUT Data'!I79</x:f>
        <x:v>0</x:v>
      </x:c>
      <x:c r="I28" t="n">
        <x:f>'INPUT Data'!J79</x:f>
        <x:v>0</x:v>
      </x:c>
      <x:c r="J28" t="n">
        <x:f>'INPUT Data'!K79</x:f>
        <x:v>3</x:v>
      </x:c>
      <x:c r="K28" t="n">
        <x:f>'INPUT Data'!L79</x:f>
        <x:v>0</x:v>
      </x:c>
      <x:c r="L28" t="n">
        <x:f>'INPUT Data'!M79</x:f>
        <x:v>0</x:v>
      </x:c>
    </x:row>
    <x:row r="29">
      <x:c r="A29" t="n">
        <x:f>'INPUT Data'!B84</x:f>
        <x:v>0</x:v>
      </x:c>
      <x:c r="B29" t="n">
        <x:f>'INPUT Data'!C84</x:f>
        <x:v>0</x:v>
      </x:c>
      <x:c r="C29" t="str">
        <x:f>'INPUT Data'!D84</x:f>
        <x:v>I</x:v>
      </x:c>
      <x:c r="D29" t="n">
        <x:f>'INPUT Data'!E84</x:f>
        <x:v>0</x:v>
      </x:c>
      <x:c r="E29" t="n">
        <x:f>'INPUT Data'!F84</x:f>
        <x:v>0</x:v>
      </x:c>
      <x:c r="F29" t="n">
        <x:f>'INPUT Data'!G84</x:f>
        <x:v>0</x:v>
      </x:c>
      <x:c r="G29" t="n">
        <x:f>'INPUT Data'!H84</x:f>
        <x:v>0</x:v>
      </x:c>
      <x:c r="H29" t="n">
        <x:f>'INPUT Data'!I84</x:f>
        <x:v>0</x:v>
      </x:c>
      <x:c r="I29" t="n">
        <x:f>'INPUT Data'!J84</x:f>
        <x:v>0</x:v>
      </x:c>
      <x:c r="J29" t="n">
        <x:f>'INPUT Data'!K84</x:f>
        <x:v>0</x:v>
      </x:c>
      <x:c r="K29" t="n">
        <x:f>'INPUT Data'!L84</x:f>
        <x:v>0</x:v>
      </x:c>
      <x:c r="L29" t="n">
        <x:f>'INPUT Data'!M84</x:f>
        <x:v>0</x:v>
      </x:c>
    </x:row>
    <x:row r="30">
      <x:c r="A30" t="n">
        <x:f>'INPUT Data'!B85</x:f>
        <x:v>0</x:v>
      </x:c>
      <x:c r="B30" t="n">
        <x:f>'INPUT Data'!C85</x:f>
        <x:v>0</x:v>
      </x:c>
      <x:c r="C30" t="str">
        <x:f>'INPUT Data'!D85</x:f>
        <x:v>J</x:v>
      </x:c>
      <x:c r="D30" t="n">
        <x:f>'INPUT Data'!E85</x:f>
        <x:v>0</x:v>
      </x:c>
      <x:c r="E30" t="n">
        <x:f>'INPUT Data'!F85</x:f>
        <x:v>0</x:v>
      </x:c>
      <x:c r="F30" t="n">
        <x:f>'INPUT Data'!G85</x:f>
        <x:v>0</x:v>
      </x:c>
      <x:c r="G30" t="n">
        <x:f>'INPUT Data'!H85</x:f>
        <x:v>0</x:v>
      </x:c>
      <x:c r="H30" t="n">
        <x:f>'INPUT Data'!I85</x:f>
        <x:v>0</x:v>
      </x:c>
      <x:c r="I30" t="n">
        <x:f>'INPUT Data'!J85</x:f>
        <x:v>0</x:v>
      </x:c>
      <x:c r="J30" t="n">
        <x:f>'INPUT Data'!K85</x:f>
        <x:v>0</x:v>
      </x:c>
      <x:c r="K30" t="n">
        <x:f>'INPUT Data'!L85</x:f>
        <x:v>0</x:v>
      </x:c>
      <x:c r="L30" t="n">
        <x:f>'INPUT Data'!M85</x:f>
        <x:v>0</x:v>
      </x:c>
    </x:row>
    <x:row r="31">
      <x:c r="A31" t="n">
        <x:f>'INPUT Data'!B87</x:f>
        <x:v>0</x:v>
      </x:c>
      <x:c r="B31" t="n">
        <x:f>'INPUT Data'!C87</x:f>
        <x:v>0</x:v>
      </x:c>
      <x:c r="C31" t="str">
        <x:f>'INPUT Data'!D87</x:f>
        <x:v>L</x:v>
      </x:c>
      <x:c r="D31" t="n">
        <x:f>'INPUT Data'!E87</x:f>
        <x:v>0</x:v>
      </x:c>
      <x:c r="E31" t="n">
        <x:f>'INPUT Data'!F87</x:f>
        <x:v>0</x:v>
      </x:c>
      <x:c r="F31" t="n">
        <x:f>'INPUT Data'!G87</x:f>
        <x:v>0</x:v>
      </x:c>
      <x:c r="G31" t="n">
        <x:f>'INPUT Data'!H87</x:f>
        <x:v>0</x:v>
      </x:c>
      <x:c r="H31" t="n">
        <x:f>'INPUT Data'!I87</x:f>
        <x:v>0</x:v>
      </x:c>
      <x:c r="I31" t="n">
        <x:f>'INPUT Data'!J87</x:f>
        <x:v>0</x:v>
      </x:c>
      <x:c r="J31" t="n">
        <x:f>'INPUT Data'!K87</x:f>
        <x:v>0</x:v>
      </x:c>
      <x:c r="K31" t="n">
        <x:f>'INPUT Data'!L87</x:f>
        <x:v>0</x:v>
      </x:c>
      <x:c r="L31" t="n">
        <x:f>'INPUT Data'!M87</x:f>
        <x:v>0</x:v>
      </x:c>
    </x:row>
    <x:row r="32">
      <x:c r="A32" t="n">
        <x:f>'INPUT Data'!B88</x:f>
        <x:v>0</x:v>
      </x:c>
      <x:c r="B32" t="n">
        <x:f>'INPUT Data'!C88</x:f>
        <x:v>0</x:v>
      </x:c>
      <x:c r="C32" t="str">
        <x:f>'INPUT Data'!D88</x:f>
        <x:v>M</x:v>
      </x:c>
      <x:c r="D32" t="n">
        <x:f>'INPUT Data'!E88</x:f>
        <x:v>0</x:v>
      </x:c>
      <x:c r="E32" t="n">
        <x:f>'INPUT Data'!F88</x:f>
        <x:v>0</x:v>
      </x:c>
      <x:c r="F32" t="n">
        <x:f>'INPUT Data'!G88</x:f>
        <x:v>0</x:v>
      </x:c>
      <x:c r="G32" t="n">
        <x:f>'INPUT Data'!H88</x:f>
        <x:v>0</x:v>
      </x:c>
      <x:c r="H32" t="n">
        <x:f>'INPUT Data'!I88</x:f>
        <x:v>0</x:v>
      </x:c>
      <x:c r="I32" t="n">
        <x:f>'INPUT Data'!J88</x:f>
        <x:v>0</x:v>
      </x:c>
      <x:c r="J32" t="n">
        <x:f>'INPUT Data'!K88</x:f>
        <x:v>0</x:v>
      </x:c>
      <x:c r="K32" t="n">
        <x:f>'INPUT Data'!L88</x:f>
        <x:v>0</x:v>
      </x:c>
      <x:c r="L32" t="n">
        <x:f>'INPUT Data'!M88</x:f>
        <x:v>0</x:v>
      </x:c>
    </x:row>
    <x:row r="33">
      <x:c r="A33" t="n">
        <x:f>'INPUT Data'!B89</x:f>
        <x:v>0</x:v>
      </x:c>
      <x:c r="B33" t="n">
        <x:f>'INPUT Data'!C89</x:f>
        <x:v>0</x:v>
      </x:c>
      <x:c r="C33" t="str">
        <x:f>'INPUT Data'!D89</x:f>
        <x:v>N</x:v>
      </x:c>
      <x:c r="D33" t="n">
        <x:f>'INPUT Data'!E89</x:f>
        <x:v>0</x:v>
      </x:c>
      <x:c r="E33" t="n">
        <x:f>'INPUT Data'!F89</x:f>
        <x:v>0</x:v>
      </x:c>
      <x:c r="F33" t="n">
        <x:f>'INPUT Data'!G89</x:f>
        <x:v>0</x:v>
      </x:c>
      <x:c r="G33" t="n">
        <x:f>'INPUT Data'!H89</x:f>
        <x:v>0</x:v>
      </x:c>
      <x:c r="H33" t="n">
        <x:f>'INPUT Data'!I89</x:f>
        <x:v>0</x:v>
      </x:c>
      <x:c r="I33" t="n">
        <x:f>'INPUT Data'!J89</x:f>
        <x:v>0</x:v>
      </x:c>
      <x:c r="J33" t="n">
        <x:f>'INPUT Data'!K89</x:f>
        <x:v>0</x:v>
      </x:c>
      <x:c r="K33" t="n">
        <x:f>'INPUT Data'!L89</x:f>
        <x:v>0</x:v>
      </x:c>
      <x:c r="L33" t="n">
        <x:f>'INPUT Data'!M89</x:f>
        <x:v>0</x:v>
      </x:c>
    </x:row>
    <x:row r="34">
      <x:c r="A34" t="n">
        <x:f>'INPUT Data'!B99</x:f>
        <x:v>0</x:v>
      </x:c>
      <x:c r="B34" t="n">
        <x:f>'INPUT Data'!C99</x:f>
        <x:v>0</x:v>
      </x:c>
      <x:c r="C34" t="str">
        <x:f>'INPUT Data'!D99</x:f>
        <x:v>A</x:v>
      </x:c>
      <x:c r="D34" t="n">
        <x:f>'INPUT Data'!E99</x:f>
        <x:v>0</x:v>
      </x:c>
      <x:c r="E34" t="n">
        <x:f>'INPUT Data'!F99</x:f>
        <x:v>0</x:v>
      </x:c>
      <x:c r="F34" t="n">
        <x:f>'INPUT Data'!G99</x:f>
        <x:v>0</x:v>
      </x:c>
      <x:c r="G34" t="n">
        <x:f>'INPUT Data'!H99</x:f>
        <x:v>0</x:v>
      </x:c>
      <x:c r="H34" t="n">
        <x:f>'INPUT Data'!I99</x:f>
        <x:v>0</x:v>
      </x:c>
      <x:c r="I34" t="n">
        <x:f>'INPUT Data'!J99</x:f>
        <x:v>0</x:v>
      </x:c>
      <x:c r="J34" t="n">
        <x:f>'INPUT Data'!K99</x:f>
        <x:v>3</x:v>
      </x:c>
      <x:c r="K34" t="n">
        <x:f>'INPUT Data'!L99</x:f>
        <x:v>0</x:v>
      </x:c>
      <x:c r="L34" t="n">
        <x:f>'INPUT Data'!M99</x:f>
        <x:v>0</x:v>
      </x:c>
    </x:row>
    <x:row r="35">
      <x:c r="A35" t="n">
        <x:f>'INPUT Data'!B100</x:f>
        <x:v>0</x:v>
      </x:c>
      <x:c r="B35" t="n">
        <x:f>'INPUT Data'!C100</x:f>
        <x:v>0</x:v>
      </x:c>
      <x:c r="C35" t="str">
        <x:f>'INPUT Data'!D100</x:f>
        <x:v>B</x:v>
      </x:c>
      <x:c r="D35" t="n">
        <x:f>'INPUT Data'!E100</x:f>
        <x:v>0</x:v>
      </x:c>
      <x:c r="E35" t="n">
        <x:f>'INPUT Data'!F100</x:f>
        <x:v>0</x:v>
      </x:c>
      <x:c r="F35" t="n">
        <x:f>'INPUT Data'!G100</x:f>
        <x:v>0</x:v>
      </x:c>
      <x:c r="G35" t="n">
        <x:f>'INPUT Data'!H100</x:f>
        <x:v>0</x:v>
      </x:c>
      <x:c r="H35" t="n">
        <x:f>'INPUT Data'!I100</x:f>
        <x:v>0</x:v>
      </x:c>
      <x:c r="I35" t="n">
        <x:f>'INPUT Data'!J100</x:f>
        <x:v>0</x:v>
      </x:c>
      <x:c r="J35" t="n">
        <x:f>'INPUT Data'!K100</x:f>
        <x:v>3</x:v>
      </x:c>
      <x:c r="K35" t="n">
        <x:f>'INPUT Data'!L100</x:f>
        <x:v>0</x:v>
      </x:c>
      <x:c r="L35" t="n">
        <x:f>'INPUT Data'!M100</x:f>
        <x:v>0</x:v>
      </x:c>
    </x:row>
    <x:row r="36">
      <x:c r="A36" t="n">
        <x:f>'INPUT Data'!B101</x:f>
        <x:v>0</x:v>
      </x:c>
      <x:c r="B36" t="n">
        <x:f>'INPUT Data'!C101</x:f>
        <x:v>0</x:v>
      </x:c>
      <x:c r="C36" t="str">
        <x:f>'INPUT Data'!D101</x:f>
        <x:v>C</x:v>
      </x:c>
      <x:c r="D36" t="n">
        <x:f>'INPUT Data'!E101</x:f>
        <x:v>0</x:v>
      </x:c>
      <x:c r="E36" t="n">
        <x:f>'INPUT Data'!F101</x:f>
        <x:v>0</x:v>
      </x:c>
      <x:c r="F36" t="n">
        <x:f>'INPUT Data'!G101</x:f>
        <x:v>0</x:v>
      </x:c>
      <x:c r="G36" t="n">
        <x:f>'INPUT Data'!H101</x:f>
        <x:v>0</x:v>
      </x:c>
      <x:c r="H36" t="n">
        <x:f>'INPUT Data'!I101</x:f>
        <x:v>0</x:v>
      </x:c>
      <x:c r="I36" t="n">
        <x:f>'INPUT Data'!J101</x:f>
        <x:v>0</x:v>
      </x:c>
      <x:c r="J36" t="n">
        <x:f>'INPUT Data'!K101</x:f>
        <x:v>3</x:v>
      </x:c>
      <x:c r="K36" t="n">
        <x:f>'INPUT Data'!L101</x:f>
        <x:v>0</x:v>
      </x:c>
      <x:c r="L36" t="n">
        <x:f>'INPUT Data'!M101</x:f>
        <x:v>0</x:v>
      </x:c>
    </x:row>
    <x:row r="37">
      <x:c r="A37" t="n">
        <x:f>'INPUT Data'!B103</x:f>
        <x:v>0</x:v>
      </x:c>
      <x:c r="B37" t="n">
        <x:f>'INPUT Data'!C103</x:f>
        <x:v>0</x:v>
      </x:c>
      <x:c r="C37" t="str">
        <x:f>'INPUT Data'!D103</x:f>
        <x:v>E</x:v>
      </x:c>
      <x:c r="D37" t="n">
        <x:f>'INPUT Data'!E103</x:f>
        <x:v>0</x:v>
      </x:c>
      <x:c r="E37" t="n">
        <x:f>'INPUT Data'!F103</x:f>
        <x:v>0</x:v>
      </x:c>
      <x:c r="F37" t="n">
        <x:f>'INPUT Data'!G103</x:f>
        <x:v>0</x:v>
      </x:c>
      <x:c r="G37" t="n">
        <x:f>'INPUT Data'!H103</x:f>
        <x:v>0</x:v>
      </x:c>
      <x:c r="H37" t="n">
        <x:f>'INPUT Data'!I103</x:f>
        <x:v>0</x:v>
      </x:c>
      <x:c r="I37" t="n">
        <x:f>'INPUT Data'!J103</x:f>
        <x:v>0</x:v>
      </x:c>
      <x:c r="J37" t="n">
        <x:f>'INPUT Data'!K103</x:f>
        <x:v>3</x:v>
      </x:c>
      <x:c r="K37" t="n">
        <x:f>'INPUT Data'!L103</x:f>
        <x:v>0</x:v>
      </x:c>
      <x:c r="L37" t="n">
        <x:f>'INPUT Data'!M103</x:f>
        <x:v>0</x:v>
      </x:c>
    </x:row>
    <x:row r="38">
      <x:c r="A38" t="n">
        <x:f>'INPUT Data'!B104</x:f>
        <x:v>0</x:v>
      </x:c>
      <x:c r="B38" t="n">
        <x:f>'INPUT Data'!C104</x:f>
        <x:v>0</x:v>
      </x:c>
      <x:c r="C38" t="str">
        <x:f>'INPUT Data'!D104</x:f>
        <x:v>F</x:v>
      </x:c>
      <x:c r="D38" t="n">
        <x:f>'INPUT Data'!E104</x:f>
        <x:v>0</x:v>
      </x:c>
      <x:c r="E38" t="n">
        <x:f>'INPUT Data'!F104</x:f>
        <x:v>0</x:v>
      </x:c>
      <x:c r="F38" t="n">
        <x:f>'INPUT Data'!G104</x:f>
        <x:v>0</x:v>
      </x:c>
      <x:c r="G38" t="n">
        <x:f>'INPUT Data'!H104</x:f>
        <x:v>0</x:v>
      </x:c>
      <x:c r="H38" t="n">
        <x:f>'INPUT Data'!I104</x:f>
        <x:v>0</x:v>
      </x:c>
      <x:c r="I38" t="n">
        <x:f>'INPUT Data'!J104</x:f>
        <x:v>1</x:v>
      </x:c>
      <x:c r="J38" t="n">
        <x:f>'INPUT Data'!K104</x:f>
        <x:v>3</x:v>
      </x:c>
      <x:c r="K38" t="n">
        <x:f>'INPUT Data'!L104</x:f>
        <x:v>0</x:v>
      </x:c>
      <x:c r="L38" t="n">
        <x:f>'INPUT Data'!M104</x:f>
        <x:v>0</x:v>
      </x:c>
    </x:row>
    <x:row r="39">
      <x:c r="A39" t="n">
        <x:f>'INPUT Data'!B105</x:f>
        <x:v>0</x:v>
      </x:c>
      <x:c r="B39" t="n">
        <x:f>'INPUT Data'!C105</x:f>
        <x:v>0</x:v>
      </x:c>
      <x:c r="C39" t="str">
        <x:f>'INPUT Data'!D105</x:f>
        <x:v>G</x:v>
      </x:c>
      <x:c r="D39" t="n">
        <x:f>'INPUT Data'!E105</x:f>
        <x:v>0</x:v>
      </x:c>
      <x:c r="E39" t="n">
        <x:f>'INPUT Data'!F105</x:f>
        <x:v>0</x:v>
      </x:c>
      <x:c r="F39" t="n">
        <x:f>'INPUT Data'!G105</x:f>
        <x:v>0</x:v>
      </x:c>
      <x:c r="G39" t="n">
        <x:f>'INPUT Data'!H105</x:f>
        <x:v>0</x:v>
      </x:c>
      <x:c r="H39" t="n">
        <x:f>'INPUT Data'!I105</x:f>
        <x:v>0</x:v>
      </x:c>
      <x:c r="I39" t="n">
        <x:f>'INPUT Data'!J105</x:f>
        <x:v>0</x:v>
      </x:c>
      <x:c r="J39" t="n">
        <x:f>'INPUT Data'!K105</x:f>
        <x:v>3</x:v>
      </x:c>
      <x:c r="K39" t="n">
        <x:f>'INPUT Data'!L105</x:f>
        <x:v>0</x:v>
      </x:c>
      <x:c r="L39" t="n">
        <x:f>'INPUT Data'!M105</x:f>
        <x:v>0</x:v>
      </x:c>
    </x:row>
    <x:row r="40">
      <x:c r="A40" t="n">
        <x:f>'INPUT Data'!B106</x:f>
        <x:v>0</x:v>
      </x:c>
      <x:c r="B40" t="n">
        <x:f>'INPUT Data'!C106</x:f>
        <x:v>0</x:v>
      </x:c>
      <x:c r="C40" t="str">
        <x:f>'INPUT Data'!D106</x:f>
        <x:v>H</x:v>
      </x:c>
      <x:c r="D40" t="n">
        <x:f>'INPUT Data'!E106</x:f>
        <x:v>0</x:v>
      </x:c>
      <x:c r="E40" t="n">
        <x:f>'INPUT Data'!F106</x:f>
        <x:v>0</x:v>
      </x:c>
      <x:c r="F40" t="n">
        <x:f>'INPUT Data'!G106</x:f>
        <x:v>0</x:v>
      </x:c>
      <x:c r="G40" t="n">
        <x:f>'INPUT Data'!H106</x:f>
        <x:v>0</x:v>
      </x:c>
      <x:c r="H40" t="n">
        <x:f>'INPUT Data'!I106</x:f>
        <x:v>0</x:v>
      </x:c>
      <x:c r="I40" t="n">
        <x:f>'INPUT Data'!J106</x:f>
        <x:v>0</x:v>
      </x:c>
      <x:c r="J40" t="n">
        <x:f>'INPUT Data'!K106</x:f>
        <x:v>3</x:v>
      </x:c>
      <x:c r="K40" t="n">
        <x:f>'INPUT Data'!L106</x:f>
        <x:v>0</x:v>
      </x:c>
      <x:c r="L40" t="n">
        <x:f>'INPUT Data'!M106</x:f>
        <x:v>0</x:v>
      </x:c>
    </x:row>
    <x:row r="41">
      <x:c r="A41" t="n">
        <x:f>'INPUT Data'!B113</x:f>
        <x:v>0</x:v>
      </x:c>
      <x:c r="B41" t="n">
        <x:f>'INPUT Data'!C113</x:f>
        <x:v>0</x:v>
      </x:c>
      <x:c r="C41" t="str">
        <x:f>'INPUT Data'!D113</x:f>
        <x:v>O</x:v>
      </x:c>
      <x:c r="D41" t="n">
        <x:f>'INPUT Data'!E113</x:f>
        <x:v>0</x:v>
      </x:c>
      <x:c r="E41" t="n">
        <x:f>'INPUT Data'!F113</x:f>
        <x:v>0</x:v>
      </x:c>
      <x:c r="F41" t="n">
        <x:f>'INPUT Data'!G113</x:f>
        <x:v>0</x:v>
      </x:c>
      <x:c r="G41" t="n">
        <x:f>'INPUT Data'!H113</x:f>
        <x:v>0</x:v>
      </x:c>
      <x:c r="H41" t="n">
        <x:f>'INPUT Data'!I113</x:f>
        <x:v>0</x:v>
      </x:c>
      <x:c r="I41" t="n">
        <x:f>'INPUT Data'!J113</x:f>
        <x:v>0</x:v>
      </x:c>
      <x:c r="J41" t="n">
        <x:f>'INPUT Data'!K113</x:f>
        <x:v>0</x:v>
      </x:c>
      <x:c r="K41" t="n">
        <x:f>'INPUT Data'!L113</x:f>
        <x:v>0</x:v>
      </x:c>
      <x:c r="L41" t="n">
        <x:f>'INPUT Data'!M113</x:f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1.4609375" defaultRowHeight="12.75"/>
  <x:cols>
    <x:col min="1" max="1" width="9.4375" customWidth="1"/>
    <x:col min="2" max="2" width="22.3828125" customWidth="1"/>
    <x:col min="3" max="3" width="19.1484375" customWidth="1"/>
    <x:col min="4" max="4" width="24.40625" customWidth="1"/>
    <x:col min="5" max="5" width="27.5078125" customWidth="1"/>
    <x:col min="6" max="6" width="7.28125" customWidth="1"/>
    <x:col min="7" max="7" width="23.05859375" customWidth="1"/>
    <x:col min="8" max="9" width="6.47265625" customWidth="1"/>
    <x:col min="10" max="10" width="8.4921875" customWidth="1"/>
    <x:col min="11" max="11" width="16.046875" customWidth="1"/>
    <x:col min="12" max="12" width="9.70703125" customWidth="1"/>
    <x:col min="13" max="13" width="6.7421875" customWidth="1"/>
    <x:col min="14" max="14" width="10.515625" customWidth="1"/>
    <x:col min="15" max="15" width="6.47265625" customWidth="1"/>
    <x:col min="16" max="16" width="9.4375" customWidth="1"/>
  </x:cols>
  <x:sheetData>
    <x:row r="1" s="10" customFormat="1" ht="18" customHeight="1">
      <x:c r="A1" s="94" t="s">
        <x:v>35</x:v>
      </x:c>
      <x:c r="B1" s="94" t="str">
        <x:f>'INPUT Data'!E6</x:f>
        <x:v>Riscaldo / Morchia</x:v>
      </x:c>
      <x:c r="C1" s="94" t="str">
        <x:f>'INPUT Data'!F6</x:f>
        <x:v>Muffa / Umidità / Terra</x:v>
      </x:c>
      <x:c r="D1" s="94" t="str">
        <x:f>'INPUT Data'!G6</x:f>
        <x:v>Avvinato / Inacetito / Acido / Agro</x:v>
      </x:c>
      <x:c r="E1" s="94" t="str">
        <x:f>'INPUT Data'!H6</x:f>
        <x:v>Olive gelate (legno umido)</x:v>
      </x:c>
      <x:c r="F1" s="94" t="str">
        <x:f>'INPUT Data'!I6</x:f>
        <x:v>Rancido</x:v>
      </x:c>
      <x:c r="G1" s="94" t="str">
        <x:f>'INPUT Data'!J6</x:f>
        <x:v>Altro attributo negativo</x:v>
      </x:c>
      <x:c r="H1" s="94" t="str">
        <x:f>'INPUT Data'!K6</x:f>
        <x:v>Fruttato</x:v>
      </x:c>
      <x:c r="I1" s="94" t="str">
        <x:f>'INPUT Data'!L6</x:f>
        <x:v>Amaro</x:v>
      </x:c>
      <x:c r="J1" s="94" t="str">
        <x:f>'INPUT Data'!M6</x:f>
        <x:v>Piccante</x:v>
      </x:c>
      <x:c r="K1" s="94" t="e">
        <x:f>'INPUT Data'!#REF!</x:f>
      </x:c>
      <x:c r="L1" s="94" t="e">
        <x:f>'INPUT Data'!#REF!</x:f>
      </x:c>
      <x:c r="M1" s="94" t="e">
        <x:f>'INPUT Data'!#REF!</x:f>
      </x:c>
      <x:c r="N1" s="94" t="e">
        <x:f>'INPUT Data'!#REF!</x:f>
      </x:c>
      <x:c r="O1" s="70" t="e">
        <x:f>'INPUT Data'!#REF!</x:f>
      </x:c>
      <x:c r="P1" s="70" t="e">
        <x:f>'INPUT Data'!#REF!</x:f>
      </x:c>
    </x:row>
    <x:row r="2">
      <x:c r="A2" s="95" t="n">
        <x:f>Table!B7</x:f>
        <x:v>0</x:v>
      </x:c>
      <x:c r="B2" s="95" t="n">
        <x:f>Table!D7</x:f>
        <x:v>0</x:v>
      </x:c>
      <x:c r="C2" s="95" t="n">
        <x:f>Table!E7</x:f>
        <x:v>0</x:v>
      </x:c>
      <x:c r="D2" s="95" t="n">
        <x:f>Table!F7</x:f>
        <x:v>0</x:v>
      </x:c>
      <x:c r="E2" s="95" t="n">
        <x:f>Table!G7</x:f>
        <x:v>0</x:v>
      </x:c>
      <x:c r="F2" s="95" t="n">
        <x:f>Table!H7</x:f>
        <x:v>5</x:v>
      </x:c>
      <x:c r="G2" s="95" t="n">
        <x:f>Table!I7</x:f>
        <x:v>0</x:v>
      </x:c>
      <x:c r="H2" s="95" t="n">
        <x:f>Table!J7</x:f>
        <x:v>2.85</x:v>
      </x:c>
      <x:c r="I2" s="95" t="n">
        <x:f>Table!K7</x:f>
        <x:v>2.55</x:v>
      </x:c>
      <x:c r="J2" s="95" t="n">
        <x:f>Table!L7</x:f>
        <x:v>3.1</x:v>
      </x:c>
      <x:c r="K2" s="95" t="e">
        <x:f>Table!#REF!</x:f>
      </x:c>
      <x:c r="L2" s="95" t="e">
        <x:f>Table!#REF!</x:f>
      </x:c>
      <x:c r="M2" s="95" t="e">
        <x:f>Table!#REF!</x:f>
      </x:c>
      <x:c r="N2" s="95" t="e">
        <x:f>Table!#REF!</x:f>
      </x:c>
      <x:c r="O2" s="6" t="e">
        <x:f>Table!#REF!</x:f>
      </x:c>
      <x:c r="P2" s="6" t="e">
        <x:f>Table!#REF!</x:f>
      </x:c>
    </x:row>
    <x:row r="3">
      <x:c r="A3" s="95" t="n">
        <x:f>Table!B21</x:f>
        <x:v>0</x:v>
      </x:c>
      <x:c r="B3" s="95" t="n">
        <x:f>Table!D21</x:f>
        <x:v>0</x:v>
      </x:c>
      <x:c r="C3" s="95" t="n">
        <x:f>Table!E21</x:f>
        <x:v>0</x:v>
      </x:c>
      <x:c r="D3" s="95" t="n">
        <x:f>Table!F21</x:f>
        <x:v>0</x:v>
      </x:c>
      <x:c r="E3" s="95" t="n">
        <x:f>Table!G21</x:f>
        <x:v>4</x:v>
      </x:c>
      <x:c r="F3" s="95" t="n">
        <x:f>Table!H21</x:f>
        <x:v>0</x:v>
      </x:c>
      <x:c r="G3" s="95" t="n">
        <x:f>Table!I21</x:f>
        <x:v>0</x:v>
      </x:c>
      <x:c r="H3" s="95" t="n">
        <x:f>Table!J21</x:f>
        <x:v>3</x:v>
      </x:c>
      <x:c r="I3" s="95" t="n">
        <x:f>Table!K21</x:f>
        <x:v>0</x:v>
      </x:c>
      <x:c r="J3" s="95" t="n">
        <x:f>Table!L21</x:f>
        <x:v>0</x:v>
      </x:c>
      <x:c r="K3" s="95" t="e">
        <x:f>Table!#REF!</x:f>
      </x:c>
      <x:c r="L3" s="95" t="e">
        <x:f>Table!#REF!</x:f>
      </x:c>
      <x:c r="M3" s="95" t="e">
        <x:f>Table!#REF!</x:f>
      </x:c>
      <x:c r="N3" s="95" t="e">
        <x:f>Table!#REF!</x:f>
      </x:c>
      <x:c r="O3" s="6" t="e">
        <x:f>Table!#REF!</x:f>
      </x:c>
      <x:c r="P3" s="6" t="e">
        <x:f>Table!#REF!</x:f>
      </x:c>
    </x:row>
    <x:row r="4">
      <x:c r="A4" s="95" t="n">
        <x:f>Table!B34</x:f>
        <x:v>0</x:v>
      </x:c>
      <x:c r="B4" s="95" t="n">
        <x:f>Table!D34</x:f>
        <x:v>0</x:v>
      </x:c>
      <x:c r="C4" s="95" t="n">
        <x:f>Table!E34</x:f>
        <x:v>0</x:v>
      </x:c>
      <x:c r="D4" s="95" t="n">
        <x:f>Table!F34</x:f>
        <x:v>0</x:v>
      </x:c>
      <x:c r="E4" s="95" t="n">
        <x:f>Table!G34</x:f>
        <x:v>7</x:v>
      </x:c>
      <x:c r="F4" s="95" t="n">
        <x:f>Table!H34</x:f>
        <x:v>0</x:v>
      </x:c>
      <x:c r="G4" s="95" t="n">
        <x:f>Table!I34</x:f>
        <x:v>0</x:v>
      </x:c>
      <x:c r="H4" s="95" t="n">
        <x:f>Table!J34</x:f>
        <x:v>1</x:v>
      </x:c>
      <x:c r="I4" s="95" t="n">
        <x:f>Table!K34</x:f>
        <x:v>0</x:v>
      </x:c>
      <x:c r="J4" s="95" t="n">
        <x:f>Table!L34</x:f>
        <x:v>0</x:v>
      </x:c>
      <x:c r="K4" s="95" t="e">
        <x:f>Table!#REF!</x:f>
      </x:c>
      <x:c r="L4" s="95" t="e">
        <x:f>Table!#REF!</x:f>
      </x:c>
      <x:c r="M4" s="95" t="e">
        <x:f>Table!#REF!</x:f>
      </x:c>
      <x:c r="N4" s="95" t="e">
        <x:f>Table!#REF!</x:f>
      </x:c>
      <x:c r="O4" s="6" t="e">
        <x:f>Table!#REF!</x:f>
      </x:c>
      <x:c r="P4" s="6" t="e">
        <x:f>Table!#REF!</x:f>
      </x:c>
    </x:row>
    <x:row r="5">
      <x:c r="A5" s="95" t="n">
        <x:f>Table!B47</x:f>
        <x:v>0</x:v>
      </x:c>
      <x:c r="B5" s="95" t="n">
        <x:f>Table!D47</x:f>
        <x:v>0</x:v>
      </x:c>
      <x:c r="C5" s="95" t="n">
        <x:f>Table!E47</x:f>
        <x:v>0</x:v>
      </x:c>
      <x:c r="D5" s="95" t="n">
        <x:f>Table!F47</x:f>
        <x:v>0</x:v>
      </x:c>
      <x:c r="E5" s="95" t="n">
        <x:f>Table!G47</x:f>
        <x:v>2</x:v>
      </x:c>
      <x:c r="F5" s="95" t="n">
        <x:f>Table!H47</x:f>
        <x:v>0</x:v>
      </x:c>
      <x:c r="G5" s="95" t="n">
        <x:f>Table!I47</x:f>
        <x:v>0</x:v>
      </x:c>
      <x:c r="H5" s="95" t="n">
        <x:f>Table!J47</x:f>
        <x:v>3</x:v>
      </x:c>
      <x:c r="I5" s="95" t="n">
        <x:f>Table!K47</x:f>
        <x:v>0</x:v>
      </x:c>
      <x:c r="J5" s="95" t="n">
        <x:f>Table!L47</x:f>
        <x:v>0</x:v>
      </x:c>
      <x:c r="K5" s="95" t="e">
        <x:f>Table!#REF!</x:f>
      </x:c>
      <x:c r="L5" s="95" t="e">
        <x:f>Table!#REF!</x:f>
      </x:c>
      <x:c r="M5" s="95" t="e">
        <x:f>Table!#REF!</x:f>
      </x:c>
      <x:c r="N5" s="95" t="e">
        <x:f>Table!#REF!</x:f>
      </x:c>
      <x:c r="O5" s="6" t="e">
        <x:f>Table!#REF!</x:f>
      </x:c>
      <x:c r="P5" s="6" t="e">
        <x:f>Table!#REF!</x:f>
      </x:c>
    </x:row>
    <x:row r="6">
      <x:c r="A6" s="95" t="n">
        <x:f>Table!B60</x:f>
        <x:v>0</x:v>
      </x:c>
      <x:c r="B6" s="95" t="n">
        <x:f>Table!D60</x:f>
        <x:v>0</x:v>
      </x:c>
      <x:c r="C6" s="95" t="n">
        <x:f>Table!E60</x:f>
        <x:v>0</x:v>
      </x:c>
      <x:c r="D6" s="95" t="n">
        <x:f>Table!F60</x:f>
        <x:v>0</x:v>
      </x:c>
      <x:c r="E6" s="95" t="n">
        <x:f>Table!G60</x:f>
        <x:v>0</x:v>
      </x:c>
      <x:c r="F6" s="95" t="n">
        <x:f>Table!H60</x:f>
        <x:v>0</x:v>
      </x:c>
      <x:c r="G6" s="95" t="n">
        <x:f>Table!I60</x:f>
        <x:v>0</x:v>
      </x:c>
      <x:c r="H6" s="95" t="n">
        <x:f>Table!J60</x:f>
        <x:v>3</x:v>
      </x:c>
      <x:c r="I6" s="95" t="n">
        <x:f>Table!K60</x:f>
        <x:v>0</x:v>
      </x:c>
      <x:c r="J6" s="95" t="n">
        <x:f>Table!L60</x:f>
        <x:v>0</x:v>
      </x:c>
      <x:c r="K6" s="95" t="e">
        <x:f>Table!#REF!</x:f>
      </x:c>
      <x:c r="L6" s="95" t="e">
        <x:f>Table!#REF!</x:f>
      </x:c>
      <x:c r="M6" s="95" t="e">
        <x:f>Table!#REF!</x:f>
      </x:c>
      <x:c r="N6" s="95" t="e">
        <x:f>Table!#REF!</x:f>
      </x:c>
      <x:c r="O6" s="6" t="e">
        <x:f>Table!#REF!</x:f>
      </x:c>
      <x:c r="P6" s="6" t="e">
        <x:f>Table!#REF!</x:f>
      </x:c>
    </x:row>
    <x:row r="7">
      <x:c r="B7" s="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1.4609375" defaultRowHeight="12.75"/>
  <x:cols>
    <x:col min="1" max="1" width="8.4921875" customWidth="1"/>
  </x:cols>
  <x:sheetData>
    <x:row r="1" ht="20.25" customHeight="1">
      <x:c r="A1" s="3" t="str">
        <x:v>AIUTO</x:v>
      </x:c>
      <x:c r="B1" s="3" t="str">
        <x:v>AIUTO</x:v>
      </x:c>
      <x:c r="C1" s="3" t="str">
        <x:v>AIUTO</x:v>
      </x:c>
      <x:c r="D1" s="3" t="str">
        <x:v>AIUTO</x:v>
      </x:c>
      <x:c r="E1" s="3" t="str">
        <x:v>AIUTO</x:v>
      </x:c>
      <x:c r="F1" s="3" t="str">
        <x:v>AIUTO</x:v>
      </x:c>
      <x:c r="G1" s="3" t="str">
        <x:v>AIUTO</x:v>
      </x:c>
      <x:c r="H1" s="3" t="str">
        <x:v>AIUTO</x:v>
      </x:c>
      <x:c r="I1" s="3" t="str">
        <x:v>AIUTO</x:v>
      </x:c>
      <x:c r="J1" s="3" t="str">
        <x:v>AIUTO</x:v>
      </x:c>
      <x:c r="K1" s="3" t="str">
        <x:v>AIUTO</x:v>
      </x:c>
      <x:c r="L1" s="3" t="str">
        <x:v>AIUTO</x:v>
      </x:c>
      <x:c r="M1" s="3" t="str">
        <x:v>AIUTO</x:v>
      </x:c>
      <x:c r="N1" s="3" t="str">
        <x:v>AIUTO</x:v>
      </x:c>
      <x:c r="O1" s="3" t="str">
        <x:v>AIUTO</x:v>
      </x:c>
      <x:c r="P1" s="3" t="str">
        <x:v>AIUTO</x:v>
      </x:c>
      <x:c r="Q1" s="3" t="str">
        <x:v>AIUTO</x:v>
      </x:c>
    </x:row>
    <x:row r="2" ht="20.25" customHeight="1">
      <x:c r="A2" s="3" t="str">
        <x:v>AIUTO</x:v>
      </x:c>
    </x:row>
    <x:row r="3" ht="20.25" customHeight="1">
      <x:c r="A3" s="3" t="str">
        <x:v>AIUTO</x:v>
      </x:c>
      <x:c r="C3" s="1" t="str">
        <x:v>Utilizzo:</x:v>
      </x:c>
    </x:row>
    <x:row r="4" ht="20.25" customHeight="1">
      <x:c r="A4" s="3" t="str">
        <x:v>AIUTO</x:v>
      </x:c>
      <x:c r="C4" s="21">
        <x:v>0</x:v>
      </x:c>
      <x:c r="D4" s="21" t="str">
        <x:v>Inserire i descrittori sensoriali e i relativi limiti nel foglio dedicato</x:v>
      </x:c>
    </x:row>
    <x:row r="5" ht="20.25" customHeight="1">
      <x:c r="A5" s="3" t="str">
        <x:v>AIUTO</x:v>
      </x:c>
      <x:c r="C5">
        <x:v>1</x:v>
      </x:c>
      <x:c r="D5" t="str">
        <x:v>Inserire esclusivamente i dati nel foglio "INPUT Data"</x:v>
      </x:c>
      <x:c r="J5" s="7"/>
    </x:row>
    <x:row r="6" ht="20.25" customHeight="1">
      <x:c r="A6" s="3" t="str">
        <x:v>AIUTO</x:v>
      </x:c>
      <x:c r="C6">
        <x:v>2</x:v>
      </x:c>
      <x:c r="D6" t="str">
        <x:v>Scala di valutazione da 0 a 10 (cm): 0 assenza, 10 intensità massima</x:v>
      </x:c>
      <x:c r="J6" s="7"/>
    </x:row>
    <x:row r="7" ht="20.25" customHeight="1">
      <x:c r="A7" s="3" t="str">
        <x:v>AIUTO</x:v>
      </x:c>
      <x:c r="C7">
        <x:v>3</x:v>
      </x:c>
      <x:c r="D7" t="str">
        <x:v>I valori mancanti devono essere indicati con zero; non lasciare celle vuote</x:v>
      </x:c>
      <x:c r="J7" s="7"/>
    </x:row>
    <x:row r="8" ht="20.25" customHeight="1">
      <x:c r="A8" s="3" t="str">
        <x:v>AIUTO</x:v>
      </x:c>
      <x:c r="C8">
        <x:v>4</x:v>
      </x:c>
      <x:c r="D8" t="str">
        <x:v>Controllo dei dati inseriti</x:v>
      </x:c>
    </x:row>
    <x:row r="9" ht="20.25" customHeight="1">
      <x:c r="A9" s="3" t="str">
        <x:v>AIUTO</x:v>
      </x:c>
      <x:c r="C9">
        <x:v>5</x:v>
      </x:c>
      <x:c r="D9" t="str">
        <x:v>I risultati sono disponibili nel foglio di calcolo</x:v>
      </x:c>
    </x:row>
    <x:row r="10" ht="20.25" customHeight="1">
      <x:c r="A10" s="3" t="str">
        <x:v>AIUTO</x:v>
      </x:c>
      <x:c r="C10">
        <x:v>6</x:v>
      </x:c>
      <x:c r="D10" t="str">
        <x:v>Stampare risultati e dati</x:v>
      </x:c>
    </x:row>
    <x:row r="11" ht="20.25" customHeight="1">
      <x:c r="A11" s="3" t="str">
        <x:v>AIUTO</x:v>
      </x:c>
      <x:c r="C11">
        <x:v>7</x:v>
      </x:c>
      <x:c r="D11" s="9" t="str">
        <x:v>Ricorda: risultati ottimali richiedono un CVr% inferiore al 20%</x:v>
      </x:c>
    </x:row>
    <x:row r="12" ht="20.25" customHeight="1">
      <x:c r="A12" s="3" t="str">
        <x:v>AIUTO</x:v>
      </x:c>
      <x:c r="H12" s="8" t="str">
        <x:v>Lo zoom deve essere impostato al 75%</x:v>
      </x:c>
    </x:row>
    <x:row r="13" ht="20.25" customHeight="1">
      <x:c r="A13" s="3" t="str">
        <x:v>AIUTO</x:v>
      </x:c>
      <x:c r="C13" s="2"/>
      <x:c r="D13" s="2"/>
    </x:row>
    <x:row r="14" ht="20.25" customHeight="1">
      <x:c r="A14" s="3" t="str">
        <x:v>AIUTO</x:v>
      </x:c>
      <x:c r="C14" s="2"/>
      <x:c r="D14" s="2"/>
    </x:row>
    <x:row r="15" ht="20.25" customHeight="1">
      <x:c r="A15" s="3" t="str">
        <x:v>AIUTO</x:v>
      </x:c>
      <x:c r="E15" s="2"/>
      <x:c r="F15" s="2"/>
      <x:c r="G15" s="2"/>
      <x:c r="H15" s="2"/>
    </x:row>
    <x:row r="16" ht="20.25" customHeight="1">
      <x:c r="A16" s="3" t="str">
        <x:v>AIUTO</x:v>
      </x:c>
      <x:c r="E16" s="2"/>
      <x:c r="F16" s="2"/>
      <x:c r="G16" s="2"/>
      <x:c r="H16" s="2"/>
    </x:row>
    <x:row r="17" ht="20.25" customHeight="1">
      <x:c r="A17" s="3" t="str">
        <x:v>AIUTO</x:v>
      </x:c>
      <x:c r="L17" s="5"/>
    </x:row>
    <x:row r="18" ht="20.25" customHeight="1">
      <x:c r="A18" s="3" t="str">
        <x:v>AIUTO</x:v>
      </x:c>
      <x:c r="L18" s="4"/>
    </x:row>
    <x:row r="19" ht="20.25" customHeight="1">
      <x:c r="A19" s="3" t="str">
        <x:v>AIUTO</x:v>
      </x:c>
      <x:c r="K19" s="4"/>
      <x:c r="L19" s="4" t="str">
        <x:v>Programmazione di Andrea Giomo</x:v>
      </x:c>
    </x:row>
    <x:row r="20" ht="20.25" customHeight="1">
      <x:c r="A20" s="3" t="str">
        <x:v>AIUTO</x:v>
      </x:c>
      <x:c r="L20" s="4" t="s">
        <x:v>36</x:v>
      </x:c>
    </x:row>
    <x:row r="21" ht="21" customHeight="1">
      <x:c r="A21" s="3" t="str">
        <x:v>AIUTO</x:v>
      </x:c>
    </x:row>
  </x:sheetData>
  <x:pageMargins left="0.7" right="0.7" top="0.75" bottom="0.75" header="0.3" footer="0.3"/>
</x:worksheet>
</file>